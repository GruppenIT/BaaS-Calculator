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516F0F75-070E-43BE-8F0C-0BE3372F108B}" xr6:coauthVersionLast="47" xr6:coauthVersionMax="47" xr10:uidLastSave="{00000000-0000-0000-0000-000000000000}"/>
  <bookViews>
    <workbookView xWindow="-120" yWindow="-120" windowWidth="51840" windowHeight="21120" firstSheet="1" activeTab="1" xr2:uid="{883FBAFA-7766-40F5-A796-DD5B98A14B55}"/>
  </bookViews>
  <sheets>
    <sheet name="Oferta" sheetId="6" r:id="rId1"/>
    <sheet name="Análise Interna" sheetId="1" r:id="rId2"/>
    <sheet name="Dados" sheetId="5" r:id="rId3"/>
    <sheet name="VDC" sheetId="7" r:id="rId4"/>
  </sheets>
  <definedNames>
    <definedName name="Gerenciamento">Dados!$A$7:$C$9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Q12" i="1"/>
  <c r="P12" i="1"/>
  <c r="P17" i="1"/>
  <c r="L30" i="5" s="1"/>
  <c r="Q17" i="1"/>
  <c r="M30" i="5" s="1"/>
  <c r="R17" i="1"/>
  <c r="N30" i="5" s="1"/>
  <c r="I18" i="1"/>
  <c r="N4" i="5"/>
  <c r="C17" i="6"/>
  <c r="E6" i="6"/>
  <c r="E8" i="6"/>
  <c r="E7" i="6"/>
  <c r="E5" i="6"/>
  <c r="O28" i="1"/>
  <c r="O14" i="1"/>
  <c r="O12" i="1"/>
  <c r="O11" i="1"/>
  <c r="O10" i="1"/>
  <c r="B19" i="1"/>
  <c r="C35" i="5"/>
  <c r="Q9" i="1"/>
  <c r="Q10" i="1" s="1"/>
  <c r="R9" i="1"/>
  <c r="R10" i="1" s="1"/>
  <c r="P9" i="1"/>
  <c r="P10" i="1" s="1"/>
  <c r="I19" i="1"/>
  <c r="B20" i="1"/>
  <c r="B21" i="1"/>
  <c r="B18" i="1"/>
  <c r="B23" i="5"/>
  <c r="R14" i="1"/>
  <c r="Q14" i="1"/>
  <c r="P14" i="1"/>
  <c r="O17" i="1"/>
  <c r="B22" i="1"/>
  <c r="P7" i="1"/>
  <c r="O19" i="1" s="1"/>
  <c r="J8" i="1"/>
  <c r="Q11" i="1"/>
  <c r="P11" i="1"/>
  <c r="E10" i="6"/>
  <c r="Q15" i="1"/>
  <c r="Q16" i="1"/>
  <c r="M29" i="5" s="1"/>
  <c r="R15" i="1"/>
  <c r="R16" i="1"/>
  <c r="N29" i="5" s="1"/>
  <c r="P15" i="1"/>
  <c r="P16" i="1"/>
  <c r="L29" i="5" s="1"/>
  <c r="R19" i="1" l="1"/>
  <c r="R21" i="1" s="1"/>
  <c r="R11" i="1"/>
  <c r="Q19" i="1"/>
  <c r="Q20" i="1" s="1"/>
  <c r="M31" i="5" s="1"/>
  <c r="P19" i="1"/>
  <c r="M28" i="5"/>
  <c r="L28" i="5"/>
  <c r="N28" i="5"/>
  <c r="R20" i="1" l="1"/>
  <c r="N31" i="5" s="1"/>
  <c r="Q21" i="1"/>
  <c r="Q25" i="1"/>
  <c r="M26" i="5" s="1"/>
  <c r="P21" i="1"/>
  <c r="P20" i="1"/>
  <c r="R25" i="1" l="1"/>
  <c r="N26" i="5" s="1"/>
  <c r="Q24" i="1"/>
  <c r="M27" i="5" s="1"/>
  <c r="R24" i="1"/>
  <c r="N27" i="5" s="1"/>
  <c r="L31" i="5"/>
  <c r="P25" i="1"/>
  <c r="L26" i="5" l="1"/>
  <c r="P24" i="1"/>
  <c r="L27" i="5" s="1"/>
</calcChain>
</file>

<file path=xl/sharedStrings.xml><?xml version="1.0" encoding="utf-8"?>
<sst xmlns="http://schemas.openxmlformats.org/spreadsheetml/2006/main" count="202" uniqueCount="133">
  <si>
    <t>Solução de backup como serviço (BaaS) utilizando tecnologia Veeam conforme escopo dimensionado abaixo:</t>
  </si>
  <si>
    <t>Seq.</t>
  </si>
  <si>
    <t>Descrição</t>
  </si>
  <si>
    <t>Quant.</t>
  </si>
  <si>
    <t>Unitário (R$)</t>
  </si>
  <si>
    <t>Total Mensal (R$)</t>
  </si>
  <si>
    <t>Software Veeam Backup and Replication Enterprise Plus para proteção de 100 servidores virtuais e 7 servidores físicos com Veeam Agent.</t>
  </si>
  <si>
    <t>Software Veeam Cloud Connect para 100 VMs (para backup em cloud)</t>
  </si>
  <si>
    <t>Repositório para armazenamento em nuvem*</t>
  </si>
  <si>
    <t>Serviços Continuados de operação e monitoramento das rotinas de backup, para até 107 servidores, incluindo:
- Monitoramento dos jobs, diariamente, com atuação e notificação em caso de falha.
- Suporte ao produto Veeam, com interface junto ao fabricante.
- Reports mensais dos serviços.</t>
  </si>
  <si>
    <t>Serviço de setup inicial incluído.</t>
  </si>
  <si>
    <t>Incluído</t>
  </si>
  <si>
    <t>TOTAL</t>
  </si>
  <si>
    <t>* O valor mensal será cobrado conforme ocupação do armazenamento. Foi utilizado no cálculo total a estimativa de 40TB como consumo máximo.</t>
  </si>
  <si>
    <t>Opcional: Valores para expansão do ambiente.</t>
  </si>
  <si>
    <t>1TB (Terabyte) de armazenamento em Cloud</t>
  </si>
  <si>
    <t>Software Veeam Backup and Replication Enterprise Plus para 01 VM ou servidor físico</t>
  </si>
  <si>
    <t>Software Veeam Backup for Microsoft Office 365 para 01 usuário (mailbox)</t>
  </si>
  <si>
    <t>Locação de servidor para repositório local, com opção de imutabilidade</t>
  </si>
  <si>
    <t>a dimensionar</t>
  </si>
  <si>
    <t>Consultoria para revisão de políticas de backup</t>
  </si>
  <si>
    <t>Estudo financeiro e precificação para BaaS</t>
  </si>
  <si>
    <t>Cliente</t>
  </si>
  <si>
    <t>Vendedor</t>
  </si>
  <si>
    <t>Análise</t>
  </si>
  <si>
    <r>
      <t xml:space="preserve">Agressivo
</t>
    </r>
    <r>
      <rPr>
        <sz val="11"/>
        <color theme="1"/>
        <rFont val="Arial"/>
        <family val="2"/>
      </rPr>
      <t>(forte concorrência)</t>
    </r>
  </si>
  <si>
    <r>
      <t xml:space="preserve">Moderado
</t>
    </r>
    <r>
      <rPr>
        <sz val="11"/>
        <color theme="1"/>
        <rFont val="Arial"/>
        <family val="2"/>
      </rPr>
      <t>(certa concorrência)</t>
    </r>
  </si>
  <si>
    <r>
      <t xml:space="preserve">Conservador
</t>
    </r>
    <r>
      <rPr>
        <sz val="11"/>
        <color theme="1"/>
        <rFont val="Arial"/>
        <family val="2"/>
      </rPr>
      <t>(pouca ou nenhuma concorrência)</t>
    </r>
  </si>
  <si>
    <t># Oportunidade</t>
  </si>
  <si>
    <t>Nome Oportunidade</t>
  </si>
  <si>
    <t>Data do estudo</t>
  </si>
  <si>
    <t>Risco</t>
  </si>
  <si>
    <t>BaaS</t>
  </si>
  <si>
    <t>Licenciamento Veeam</t>
  </si>
  <si>
    <t>Margem aplicada</t>
  </si>
  <si>
    <r>
      <t xml:space="preserve">Cliente necessita de licenciamento do Veeam? </t>
    </r>
    <r>
      <rPr>
        <i/>
        <sz val="12"/>
        <color theme="1"/>
        <rFont val="Arial"/>
        <family val="2"/>
      </rPr>
      <t>(note que em certos cenários o cliente pode já possuir o Veeam no seu ambiente).</t>
    </r>
  </si>
  <si>
    <t>SIM</t>
  </si>
  <si>
    <r>
      <t>Cliente necessita de Serviços Gerenciados?</t>
    </r>
    <r>
      <rPr>
        <b/>
        <i/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(o serviço inclui a operação  das rotinas de backup realizada pela Gruppen).</t>
    </r>
  </si>
  <si>
    <r>
      <t>Precisa de hardware para repositório local?</t>
    </r>
    <r>
      <rPr>
        <b/>
        <i/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(o serviço inclui o fornecimento de servidor Dell com serviço de monitoramento remoto).</t>
    </r>
  </si>
  <si>
    <t>NÃO</t>
  </si>
  <si>
    <t>Precisa de repositório de armazenamento em nuvem (Zerobox)?</t>
  </si>
  <si>
    <t>Armazenamento</t>
  </si>
  <si>
    <t>Precisa de backup para Office 365?</t>
  </si>
  <si>
    <r>
      <t xml:space="preserve">Quantidade de VMs </t>
    </r>
    <r>
      <rPr>
        <sz val="12"/>
        <color theme="1"/>
        <rFont val="Arial"/>
        <family val="2"/>
      </rPr>
      <t>(Windows e Linux)</t>
    </r>
    <r>
      <rPr>
        <b/>
        <sz val="12"/>
        <color theme="1"/>
        <rFont val="Arial"/>
        <family val="2"/>
      </rPr>
      <t>:</t>
    </r>
  </si>
  <si>
    <r>
      <t xml:space="preserve">Quantidade de Servidores Físicos </t>
    </r>
    <r>
      <rPr>
        <sz val="12"/>
        <color theme="1"/>
        <rFont val="Arial"/>
        <family val="2"/>
      </rPr>
      <t>(para Agent)</t>
    </r>
    <r>
      <rPr>
        <b/>
        <sz val="12"/>
        <color theme="1"/>
        <rFont val="Arial"/>
        <family val="2"/>
      </rPr>
      <t>:</t>
    </r>
  </si>
  <si>
    <t>ROI para o servidor devido ao risco</t>
  </si>
  <si>
    <r>
      <t xml:space="preserve">Nível em que a Gruppen se encontra no programa de pontos da Veeam </t>
    </r>
    <r>
      <rPr>
        <i/>
        <sz val="12"/>
        <color theme="1"/>
        <rFont val="Arial"/>
        <family val="2"/>
      </rPr>
      <t>(em caso de dúvidas, confirme com Carlos Nunez)</t>
    </r>
    <r>
      <rPr>
        <b/>
        <sz val="12"/>
        <color theme="1"/>
        <rFont val="Arial"/>
        <family val="2"/>
      </rPr>
      <t>:</t>
    </r>
  </si>
  <si>
    <t>1500 points</t>
  </si>
  <si>
    <t>Custo mensal do servidor</t>
  </si>
  <si>
    <t>Veeam Backup &amp; Replication ENT Plus</t>
  </si>
  <si>
    <t>Gerenciamento Gruppen</t>
  </si>
  <si>
    <t>Serviços Gerenciados (mensal)</t>
  </si>
  <si>
    <t>Serviços Gerenciados (setup, cobrança única)</t>
  </si>
  <si>
    <t>Outros</t>
  </si>
  <si>
    <t>Carga tributária</t>
  </si>
  <si>
    <t>Impostos</t>
  </si>
  <si>
    <t>Total Mensal</t>
  </si>
  <si>
    <t>Points per Unit - PPU</t>
  </si>
  <si>
    <t>Intervalos</t>
  </si>
  <si>
    <t>Valor por ponto</t>
  </si>
  <si>
    <t>Edição</t>
  </si>
  <si>
    <t>Detalhe</t>
  </si>
  <si>
    <t>Tipo</t>
  </si>
  <si>
    <t>Points</t>
  </si>
  <si>
    <t>200 points</t>
  </si>
  <si>
    <t>+ Veeam Agents for Microsoft Windows and Linux</t>
  </si>
  <si>
    <t>500 GB NAS</t>
  </si>
  <si>
    <t>800 points</t>
  </si>
  <si>
    <t>ENT apps</t>
  </si>
  <si>
    <t>Kasten Backup</t>
  </si>
  <si>
    <t>Backup and DR with Kasten by Veeam</t>
  </si>
  <si>
    <t>Node</t>
  </si>
  <si>
    <t>3500 points</t>
  </si>
  <si>
    <t>Veeam Cloud Connect</t>
  </si>
  <si>
    <t>for off-site backup and DRaaS of the Veeam Backup Package</t>
  </si>
  <si>
    <t>Replica VM</t>
  </si>
  <si>
    <t>5000 points</t>
  </si>
  <si>
    <t>Gerenciamento</t>
  </si>
  <si>
    <t>Server</t>
  </si>
  <si>
    <t>10k points</t>
  </si>
  <si>
    <t>Cobrança do Setup</t>
  </si>
  <si>
    <t>Setup</t>
  </si>
  <si>
    <t>Mensal</t>
  </si>
  <si>
    <t>Veeam Backup &amp; Replication ENT</t>
  </si>
  <si>
    <t>20k points</t>
  </si>
  <si>
    <t>VMs e Servers</t>
  </si>
  <si>
    <t>por VM</t>
  </si>
  <si>
    <t>Veeam Backup &amp; Replication STAN</t>
  </si>
  <si>
    <t>50k points</t>
  </si>
  <si>
    <t>Office365 Users</t>
  </si>
  <si>
    <t>por Tenant</t>
  </si>
  <si>
    <t>100k points</t>
  </si>
  <si>
    <t>Veeam Agent</t>
  </si>
  <si>
    <t>for IBM AIX and Oracle Solaris</t>
  </si>
  <si>
    <t>Armazenamento on-premise em TB</t>
  </si>
  <si>
    <t>Veeam Management Pack</t>
  </si>
  <si>
    <t>for Microsoft System Center</t>
  </si>
  <si>
    <t>Socket</t>
  </si>
  <si>
    <t>Veeam ONE</t>
  </si>
  <si>
    <t>for monitoring of the Veeam Backup Package</t>
  </si>
  <si>
    <t>Unit</t>
  </si>
  <si>
    <t>Agressivo</t>
  </si>
  <si>
    <t>Moderado</t>
  </si>
  <si>
    <t>Conservador</t>
  </si>
  <si>
    <t>Veeam Backup for Microsoft Office 365</t>
  </si>
  <si>
    <t>User</t>
  </si>
  <si>
    <t>Baixo</t>
  </si>
  <si>
    <t>VM</t>
  </si>
  <si>
    <t>Médio</t>
  </si>
  <si>
    <t>Alto</t>
  </si>
  <si>
    <t>Multiplicadores Gerência</t>
  </si>
  <si>
    <t>Armazenamento na nuvem</t>
  </si>
  <si>
    <t>Minimo em TB</t>
  </si>
  <si>
    <t>Maximo em TB</t>
  </si>
  <si>
    <t>Veeam DR Orchestrator</t>
  </si>
  <si>
    <t>for orchestration of the Veeam Backup Package</t>
  </si>
  <si>
    <t>01 TB</t>
  </si>
  <si>
    <t>Workstation</t>
  </si>
  <si>
    <t>Margens Veeam sem gerência</t>
  </si>
  <si>
    <t>Total Faturado</t>
  </si>
  <si>
    <t>Enterprise Plus</t>
  </si>
  <si>
    <t>Custos Veeam</t>
  </si>
  <si>
    <t>Margens Veeam com gerência</t>
  </si>
  <si>
    <t>Enterprise</t>
  </si>
  <si>
    <t>Locação Servidor**</t>
  </si>
  <si>
    <t>Standard</t>
  </si>
  <si>
    <t>Armazenamento Zerobox*</t>
  </si>
  <si>
    <t>Gerência Gruppen*</t>
  </si>
  <si>
    <t>Calculo Solução VDC</t>
  </si>
  <si>
    <t>Custo com 10000 pontos</t>
  </si>
  <si>
    <t>Custo Dolar</t>
  </si>
  <si>
    <t>Ponto por mailbox</t>
  </si>
  <si>
    <t>Ponto por mailbox &gt;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</si>
</sst>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$-409]#,##0.00_ ;\-[$$-409]#,##0.00\ "/>
    <numFmt numFmtId="165" formatCode="[$-416]mmm\-yy;@"/>
    <numFmt numFmtId="166" formatCode="_-* #,##0_-;\-* #,##0_-;_-* &quot;-&quot;??_-;_-@_-"/>
    <numFmt numFmtId="167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sz val="9"/>
      <color theme="1"/>
      <name val="Calibri"/>
      <family val="2"/>
      <scheme val="minor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9">
    <xf numFmtId="0" fontId="0" fillId="0" borderId="0" xfId="0"/>
    <xf numFmtId="44" fontId="0" fillId="0" borderId="0" xfId="0" applyNumberFormat="1"/>
    <xf numFmtId="44" fontId="0" fillId="0" borderId="0" xfId="1" applyFont="1"/>
    <xf numFmtId="9" fontId="0" fillId="0" borderId="0" xfId="2" applyFon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0" applyNumberFormat="1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7" xfId="0" applyBorder="1"/>
    <xf numFmtId="0" fontId="0" fillId="4" borderId="5" xfId="0" applyFill="1" applyBorder="1"/>
    <xf numFmtId="44" fontId="0" fillId="4" borderId="1" xfId="0" applyNumberFormat="1" applyFill="1" applyBorder="1"/>
    <xf numFmtId="44" fontId="0" fillId="4" borderId="6" xfId="0" applyNumberFormat="1" applyFill="1" applyBorder="1"/>
    <xf numFmtId="0" fontId="0" fillId="3" borderId="5" xfId="0" applyFill="1" applyBorder="1"/>
    <xf numFmtId="164" fontId="0" fillId="3" borderId="1" xfId="1" applyNumberFormat="1" applyFont="1" applyFill="1" applyBorder="1" applyAlignment="1">
      <alignment horizontal="center"/>
    </xf>
    <xf numFmtId="164" fontId="0" fillId="3" borderId="6" xfId="1" applyNumberFormat="1" applyFont="1" applyFill="1" applyBorder="1" applyAlignment="1">
      <alignment horizontal="center"/>
    </xf>
    <xf numFmtId="164" fontId="0" fillId="3" borderId="8" xfId="1" applyNumberFormat="1" applyFont="1" applyFill="1" applyBorder="1" applyAlignment="1">
      <alignment horizontal="center"/>
    </xf>
    <xf numFmtId="164" fontId="0" fillId="3" borderId="9" xfId="1" applyNumberFormat="1" applyFont="1" applyFill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0" fontId="0" fillId="0" borderId="5" xfId="0" applyBorder="1"/>
    <xf numFmtId="44" fontId="0" fillId="0" borderId="6" xfId="1" applyFont="1" applyBorder="1"/>
    <xf numFmtId="44" fontId="0" fillId="0" borderId="9" xfId="1" applyFont="1" applyBorder="1"/>
    <xf numFmtId="0" fontId="0" fillId="0" borderId="9" xfId="0" applyBorder="1"/>
    <xf numFmtId="0" fontId="0" fillId="0" borderId="16" xfId="0" applyBorder="1"/>
    <xf numFmtId="0" fontId="5" fillId="3" borderId="1" xfId="0" applyFont="1" applyFill="1" applyBorder="1" applyAlignment="1" applyProtection="1">
      <alignment horizontal="center" vertical="center"/>
      <protection locked="0"/>
    </xf>
    <xf numFmtId="0" fontId="0" fillId="4" borderId="4" xfId="0" applyFill="1" applyBorder="1"/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44" fontId="9" fillId="0" borderId="1" xfId="0" applyNumberFormat="1" applyFont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44" fontId="2" fillId="2" borderId="0" xfId="0" applyNumberFormat="1" applyFont="1" applyFill="1" applyAlignment="1">
      <alignment vertical="center"/>
    </xf>
    <xf numFmtId="9" fontId="5" fillId="2" borderId="1" xfId="2" applyFont="1" applyFill="1" applyBorder="1" applyAlignment="1" applyProtection="1">
      <alignment horizontal="center" vertical="center"/>
    </xf>
    <xf numFmtId="9" fontId="5" fillId="2" borderId="6" xfId="2" applyFont="1" applyFill="1" applyBorder="1" applyAlignment="1" applyProtection="1">
      <alignment horizontal="center" vertical="center"/>
    </xf>
    <xf numFmtId="0" fontId="3" fillId="6" borderId="19" xfId="0" applyFont="1" applyFill="1" applyBorder="1" applyAlignment="1">
      <alignment horizontal="center" vertical="center" wrapText="1"/>
    </xf>
    <xf numFmtId="44" fontId="5" fillId="2" borderId="5" xfId="0" applyNumberFormat="1" applyFont="1" applyFill="1" applyBorder="1" applyAlignment="1">
      <alignment vertical="center"/>
    </xf>
    <xf numFmtId="44" fontId="5" fillId="2" borderId="17" xfId="0" applyNumberFormat="1" applyFont="1" applyFill="1" applyBorder="1" applyAlignment="1">
      <alignment vertical="center"/>
    </xf>
    <xf numFmtId="44" fontId="5" fillId="2" borderId="1" xfId="1" applyFont="1" applyFill="1" applyBorder="1" applyAlignment="1" applyProtection="1">
      <alignment vertical="center"/>
    </xf>
    <xf numFmtId="0" fontId="3" fillId="6" borderId="18" xfId="0" applyFont="1" applyFill="1" applyBorder="1" applyAlignment="1">
      <alignment vertical="center"/>
    </xf>
    <xf numFmtId="44" fontId="5" fillId="2" borderId="6" xfId="1" applyFont="1" applyFill="1" applyBorder="1" applyAlignment="1" applyProtection="1">
      <alignment vertical="center"/>
    </xf>
    <xf numFmtId="44" fontId="6" fillId="2" borderId="7" xfId="0" applyNumberFormat="1" applyFont="1" applyFill="1" applyBorder="1" applyAlignment="1">
      <alignment vertical="center"/>
    </xf>
    <xf numFmtId="44" fontId="6" fillId="2" borderId="8" xfId="1" applyFont="1" applyFill="1" applyBorder="1" applyAlignment="1" applyProtection="1">
      <alignment vertical="center"/>
    </xf>
    <xf numFmtId="0" fontId="3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44" fontId="0" fillId="0" borderId="0" xfId="0" applyNumberFormat="1" applyAlignment="1">
      <alignment horizontal="left" vertical="center"/>
    </xf>
    <xf numFmtId="44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0" fillId="4" borderId="1" xfId="0" applyFill="1" applyBorder="1"/>
    <xf numFmtId="0" fontId="0" fillId="4" borderId="6" xfId="0" applyFill="1" applyBorder="1"/>
    <xf numFmtId="10" fontId="0" fillId="0" borderId="7" xfId="2" applyNumberFormat="1" applyFont="1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10" fontId="0" fillId="0" borderId="9" xfId="2" applyNumberFormat="1" applyFont="1" applyBorder="1" applyAlignment="1">
      <alignment horizontal="center"/>
    </xf>
    <xf numFmtId="0" fontId="10" fillId="5" borderId="0" xfId="0" applyFont="1" applyFill="1" applyAlignment="1">
      <alignment vertical="center"/>
    </xf>
    <xf numFmtId="0" fontId="12" fillId="5" borderId="0" xfId="0" applyFont="1" applyFill="1" applyAlignment="1" applyProtection="1">
      <alignment horizontal="center" vertical="center"/>
      <protection locked="0"/>
    </xf>
    <xf numFmtId="44" fontId="12" fillId="5" borderId="0" xfId="1" applyFont="1" applyFill="1" applyAlignment="1" applyProtection="1">
      <alignment vertical="center"/>
      <protection locked="0"/>
    </xf>
    <xf numFmtId="0" fontId="12" fillId="5" borderId="0" xfId="0" applyFont="1" applyFill="1" applyAlignment="1">
      <alignment vertical="center"/>
    </xf>
    <xf numFmtId="0" fontId="12" fillId="5" borderId="1" xfId="0" applyFont="1" applyFill="1" applyBorder="1" applyAlignment="1" applyProtection="1">
      <alignment horizontal="center" vertical="center"/>
      <protection locked="0"/>
    </xf>
    <xf numFmtId="44" fontId="2" fillId="3" borderId="1" xfId="1" applyFont="1" applyFill="1" applyBorder="1" applyAlignment="1" applyProtection="1">
      <alignment vertical="center"/>
      <protection locked="0"/>
    </xf>
    <xf numFmtId="44" fontId="2" fillId="2" borderId="0" xfId="1" applyFont="1" applyFill="1" applyAlignment="1" applyProtection="1">
      <alignment vertical="center"/>
    </xf>
    <xf numFmtId="44" fontId="5" fillId="2" borderId="24" xfId="0" applyNumberFormat="1" applyFont="1" applyFill="1" applyBorder="1" applyAlignment="1">
      <alignment vertical="center"/>
    </xf>
    <xf numFmtId="44" fontId="5" fillId="2" borderId="5" xfId="0" applyNumberFormat="1" applyFont="1" applyFill="1" applyBorder="1" applyAlignment="1">
      <alignment vertical="center" wrapText="1"/>
    </xf>
    <xf numFmtId="166" fontId="5" fillId="5" borderId="1" xfId="3" applyNumberFormat="1" applyFont="1" applyFill="1" applyBorder="1" applyAlignment="1" applyProtection="1">
      <alignment horizontal="center" vertical="center"/>
    </xf>
    <xf numFmtId="44" fontId="5" fillId="2" borderId="15" xfId="1" applyFont="1" applyFill="1" applyBorder="1" applyAlignment="1" applyProtection="1">
      <alignment horizontal="center" vertical="center"/>
    </xf>
    <xf numFmtId="0" fontId="3" fillId="6" borderId="20" xfId="0" applyFont="1" applyFill="1" applyBorder="1" applyAlignment="1">
      <alignment horizontal="center" vertical="center" wrapText="1"/>
    </xf>
    <xf numFmtId="166" fontId="5" fillId="5" borderId="6" xfId="3" applyNumberFormat="1" applyFont="1" applyFill="1" applyBorder="1" applyAlignment="1" applyProtection="1">
      <alignment horizontal="center" vertical="center"/>
    </xf>
    <xf numFmtId="44" fontId="5" fillId="2" borderId="27" xfId="1" applyFont="1" applyFill="1" applyBorder="1" applyAlignment="1" applyProtection="1">
      <alignment horizontal="center" vertical="center"/>
    </xf>
    <xf numFmtId="0" fontId="4" fillId="2" borderId="0" xfId="0" applyFont="1" applyFill="1" applyAlignment="1">
      <alignment vertical="center"/>
    </xf>
    <xf numFmtId="44" fontId="0" fillId="0" borderId="0" xfId="1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horizontal="right"/>
    </xf>
    <xf numFmtId="44" fontId="0" fillId="0" borderId="1" xfId="1" applyFont="1" applyBorder="1" applyAlignment="1">
      <alignment horizontal="right" vertical="center"/>
    </xf>
    <xf numFmtId="0" fontId="0" fillId="0" borderId="5" xfId="0" applyBorder="1" applyAlignment="1">
      <alignment horizontal="center"/>
    </xf>
    <xf numFmtId="44" fontId="0" fillId="0" borderId="6" xfId="1" applyFont="1" applyBorder="1" applyAlignment="1">
      <alignment horizontal="right"/>
    </xf>
    <xf numFmtId="44" fontId="0" fillId="0" borderId="6" xfId="1" applyFont="1" applyBorder="1" applyAlignment="1">
      <alignment horizontal="right" vertical="center"/>
    </xf>
    <xf numFmtId="44" fontId="0" fillId="0" borderId="9" xfId="1" applyFont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 wrapText="1"/>
    </xf>
    <xf numFmtId="0" fontId="0" fillId="5" borderId="3" xfId="0" applyFill="1" applyBorder="1" applyAlignment="1">
      <alignment horizontal="center"/>
    </xf>
    <xf numFmtId="44" fontId="0" fillId="5" borderId="3" xfId="1" applyFont="1" applyFill="1" applyBorder="1" applyAlignment="1">
      <alignment horizontal="center"/>
    </xf>
    <xf numFmtId="44" fontId="0" fillId="5" borderId="4" xfId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wrapText="1"/>
    </xf>
    <xf numFmtId="44" fontId="0" fillId="3" borderId="8" xfId="1" applyFont="1" applyFill="1" applyBorder="1" applyAlignment="1">
      <alignment horizontal="center"/>
    </xf>
    <xf numFmtId="167" fontId="0" fillId="0" borderId="0" xfId="1" applyNumberFormat="1" applyFont="1"/>
    <xf numFmtId="44" fontId="6" fillId="6" borderId="23" xfId="0" applyNumberFormat="1" applyFont="1" applyFill="1" applyBorder="1" applyAlignment="1">
      <alignment horizontal="center" vertical="center"/>
    </xf>
    <xf numFmtId="44" fontId="6" fillId="6" borderId="11" xfId="0" applyNumberFormat="1" applyFont="1" applyFill="1" applyBorder="1" applyAlignment="1">
      <alignment horizontal="center" vertical="center"/>
    </xf>
    <xf numFmtId="44" fontId="6" fillId="6" borderId="26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/>
    </xf>
    <xf numFmtId="14" fontId="5" fillId="2" borderId="21" xfId="0" applyNumberFormat="1" applyFont="1" applyFill="1" applyBorder="1" applyAlignment="1">
      <alignment horizontal="center" vertical="center"/>
    </xf>
    <xf numFmtId="14" fontId="5" fillId="2" borderId="22" xfId="0" applyNumberFormat="1" applyFont="1" applyFill="1" applyBorder="1" applyAlignment="1">
      <alignment horizontal="center" vertical="center"/>
    </xf>
    <xf numFmtId="14" fontId="5" fillId="2" borderId="25" xfId="0" applyNumberFormat="1" applyFont="1" applyFill="1" applyBorder="1" applyAlignment="1">
      <alignment horizontal="center" vertical="center"/>
    </xf>
    <xf numFmtId="9" fontId="5" fillId="2" borderId="10" xfId="2" applyFont="1" applyFill="1" applyBorder="1" applyAlignment="1" applyProtection="1">
      <alignment horizontal="center" vertical="center"/>
    </xf>
    <xf numFmtId="9" fontId="5" fillId="2" borderId="11" xfId="2" applyFont="1" applyFill="1" applyBorder="1" applyAlignment="1" applyProtection="1">
      <alignment horizontal="center" vertical="center"/>
    </xf>
    <xf numFmtId="9" fontId="5" fillId="2" borderId="26" xfId="2" applyFont="1" applyFill="1" applyBorder="1" applyAlignment="1" applyProtection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5" fillId="3" borderId="10" xfId="0" applyFont="1" applyFill="1" applyBorder="1" applyAlignment="1" applyProtection="1">
      <alignment horizontal="center" vertical="center"/>
      <protection locked="0"/>
    </xf>
    <xf numFmtId="0" fontId="5" fillId="3" borderId="12" xfId="0" applyFont="1" applyFill="1" applyBorder="1" applyAlignment="1" applyProtection="1">
      <alignment horizontal="center" vertical="center"/>
      <protection locked="0"/>
    </xf>
    <xf numFmtId="0" fontId="11" fillId="5" borderId="0" xfId="0" applyFont="1" applyFill="1" applyAlignment="1">
      <alignment horizontal="left" vertical="center"/>
    </xf>
    <xf numFmtId="0" fontId="12" fillId="5" borderId="0" xfId="0" applyFont="1" applyFill="1" applyAlignment="1" applyProtection="1">
      <alignment horizontal="center" vertical="center"/>
      <protection locked="0"/>
    </xf>
    <xf numFmtId="0" fontId="2" fillId="3" borderId="10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 applyProtection="1">
      <alignment horizontal="left" vertical="center"/>
      <protection locked="0"/>
    </xf>
    <xf numFmtId="0" fontId="2" fillId="3" borderId="12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/>
    </xf>
    <xf numFmtId="0" fontId="2" fillId="3" borderId="1" xfId="0" applyFont="1" applyFill="1" applyBorder="1" applyAlignment="1" applyProtection="1">
      <alignment horizontal="left" vertical="center"/>
      <protection locked="0"/>
    </xf>
    <xf numFmtId="14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0" fillId="0" borderId="28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4" fillId="0" borderId="7" xfId="0" applyFont="1" applyBorder="1" applyAlignment="1">
      <alignment horizontal="right"/>
    </xf>
    <xf numFmtId="0" fontId="14" fillId="0" borderId="8" xfId="0" applyFont="1" applyBorder="1" applyAlignment="1">
      <alignment horizontal="right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5" xfId="0" applyFill="1" applyBorder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12">
    <dxf>
      <font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</border>
    </dxf>
    <dxf>
      <font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</border>
    </dxf>
    <dxf>
      <font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</border>
    </dxf>
    <dxf>
      <font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  <vertical/>
        <horizontal/>
      </border>
    </dxf>
    <dxf>
      <font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Análise de Valores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Dados!$K$27</c:f>
              <c:strCache>
                <c:ptCount val="1"/>
                <c:pt idx="0">
                  <c:v> Impostos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Dados!$L$25:$N$25</c:f>
              <c:strCache>
                <c:ptCount val="3"/>
                <c:pt idx="0">
                  <c:v>Agressivo</c:v>
                </c:pt>
                <c:pt idx="1">
                  <c:v>Moderado</c:v>
                </c:pt>
                <c:pt idx="2">
                  <c:v>Conservador</c:v>
                </c:pt>
              </c:strCache>
            </c:strRef>
          </c:cat>
          <c:val>
            <c:numRef>
              <c:f>Dados!$L$27:$N$27</c:f>
              <c:numCache>
                <c:formatCode>_("R$"* #,##0.00_);_("R$"* \(#,##0.00\);_("R$"* "-"??_);_(@_)</c:formatCode>
                <c:ptCount val="3"/>
                <c:pt idx="0">
                  <c:v>401.44384756097548</c:v>
                </c:pt>
                <c:pt idx="1">
                  <c:v>456.64161585365849</c:v>
                </c:pt>
                <c:pt idx="2">
                  <c:v>506.24659756097554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5-45BF-BDB9-411CE181CD6A}"/>
            </c:ext>
          </c:extLst>
        </c:ser>
        <c:ser>
          <c:idx val="2"/>
          <c:order val="2"/>
          <c:tx>
            <c:strRef>
              <c:f>Dados!$K$28</c:f>
              <c:strCache>
                <c:ptCount val="1"/>
                <c:pt idx="0">
                  <c:v> Custos Veeam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Dados!$L$25:$N$25</c:f>
              <c:strCache>
                <c:ptCount val="3"/>
                <c:pt idx="0">
                  <c:v>Agressivo</c:v>
                </c:pt>
                <c:pt idx="1">
                  <c:v>Moderado</c:v>
                </c:pt>
                <c:pt idx="2">
                  <c:v>Conservador</c:v>
                </c:pt>
              </c:strCache>
            </c:strRef>
          </c:cat>
          <c:val>
            <c:numRef>
              <c:f>Dados!$L$28:$N$28</c:f>
              <c:numCache>
                <c:formatCode>_("R$"* #,##0.00_);_("R$"* \(#,##0.00\);_("R$"* "-"??_);_(@_)</c:formatCode>
                <c:ptCount val="3"/>
                <c:pt idx="0">
                  <c:v>585.99974999999995</c:v>
                </c:pt>
                <c:pt idx="1">
                  <c:v>636.95624999999995</c:v>
                </c:pt>
                <c:pt idx="2">
                  <c:v>662.43449999999984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B5-45BF-BDB9-411CE181CD6A}"/>
            </c:ext>
          </c:extLst>
        </c:ser>
        <c:ser>
          <c:idx val="3"/>
          <c:order val="3"/>
          <c:tx>
            <c:strRef>
              <c:f>Dados!$K$29</c:f>
              <c:strCache>
                <c:ptCount val="1"/>
                <c:pt idx="0">
                  <c:v> Locação Servidor**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Dados!$L$25:$N$25</c:f>
              <c:strCache>
                <c:ptCount val="3"/>
                <c:pt idx="0">
                  <c:v>Agressivo</c:v>
                </c:pt>
                <c:pt idx="1">
                  <c:v>Moderado</c:v>
                </c:pt>
                <c:pt idx="2">
                  <c:v>Conservador</c:v>
                </c:pt>
              </c:strCache>
            </c:strRef>
          </c:cat>
          <c:val>
            <c:numRef>
              <c:f>Dados!$L$29:$N$29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B5-45BF-BDB9-411CE181CD6A}"/>
            </c:ext>
          </c:extLst>
        </c:ser>
        <c:ser>
          <c:idx val="4"/>
          <c:order val="4"/>
          <c:tx>
            <c:strRef>
              <c:f>Dados!$K$30</c:f>
              <c:strCache>
                <c:ptCount val="1"/>
                <c:pt idx="0">
                  <c:v> Armazenamento Zerobox*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Dados!$L$25:$N$25</c:f>
              <c:strCache>
                <c:ptCount val="3"/>
                <c:pt idx="0">
                  <c:v>Agressivo</c:v>
                </c:pt>
                <c:pt idx="1">
                  <c:v>Moderado</c:v>
                </c:pt>
                <c:pt idx="2">
                  <c:v>Conservador</c:v>
                </c:pt>
              </c:strCache>
            </c:strRef>
          </c:cat>
          <c:val>
            <c:numRef>
              <c:f>Dados!$L$30:$N$30</c:f>
              <c:numCache>
                <c:formatCode>_("R$"* #,##0.00_);_("R$"* \(#,##0.00\);_("R$"* "-"??_);_(@_)</c:formatCode>
                <c:ptCount val="3"/>
                <c:pt idx="0">
                  <c:v>159.20000000000002</c:v>
                </c:pt>
                <c:pt idx="1">
                  <c:v>179.1</c:v>
                </c:pt>
                <c:pt idx="2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B5-45BF-BDB9-411CE181CD6A}"/>
            </c:ext>
          </c:extLst>
        </c:ser>
        <c:ser>
          <c:idx val="5"/>
          <c:order val="5"/>
          <c:tx>
            <c:strRef>
              <c:f>Dados!$K$31</c:f>
              <c:strCache>
                <c:ptCount val="1"/>
                <c:pt idx="0">
                  <c:v> Gerência Gruppen*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Dados!$L$25:$N$25</c:f>
              <c:strCache>
                <c:ptCount val="3"/>
                <c:pt idx="0">
                  <c:v>Agressivo</c:v>
                </c:pt>
                <c:pt idx="1">
                  <c:v>Moderado</c:v>
                </c:pt>
                <c:pt idx="2">
                  <c:v>Conservador</c:v>
                </c:pt>
              </c:strCache>
            </c:strRef>
          </c:cat>
          <c:val>
            <c:numRef>
              <c:f>Dados!$L$31:$N$31</c:f>
              <c:numCache>
                <c:formatCode>_("R$"* #,##0.00_);_("R$"* \(#,##0.00\);_("R$"* "-"??_);_(@_)</c:formatCode>
                <c:ptCount val="3"/>
                <c:pt idx="0">
                  <c:v>1083.5999999999999</c:v>
                </c:pt>
                <c:pt idx="1">
                  <c:v>1264.1999999999998</c:v>
                </c:pt>
                <c:pt idx="2">
                  <c:v>1444.8000000000002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B5-45BF-BDB9-411CE181C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528303"/>
        <c:axId val="65523311"/>
      </c:barChart>
      <c:lineChart>
        <c:grouping val="stacked"/>
        <c:varyColors val="0"/>
        <c:ser>
          <c:idx val="0"/>
          <c:order val="0"/>
          <c:tx>
            <c:strRef>
              <c:f>Dados!$K$26</c:f>
              <c:strCache>
                <c:ptCount val="1"/>
                <c:pt idx="0">
                  <c:v> Total Faturado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Dados!$L$25:$N$25</c:f>
              <c:strCache>
                <c:ptCount val="3"/>
                <c:pt idx="0">
                  <c:v>Agressivo</c:v>
                </c:pt>
                <c:pt idx="1">
                  <c:v>Moderado</c:v>
                </c:pt>
                <c:pt idx="2">
                  <c:v>Conservador</c:v>
                </c:pt>
              </c:strCache>
            </c:strRef>
          </c:cat>
          <c:val>
            <c:numRef>
              <c:f>Dados!$L$26:$N$26</c:f>
              <c:numCache>
                <c:formatCode>_("R$"* #,##0.00_);_("R$"* \(#,##0.00\);_("R$"* "-"??_);_(@_)</c:formatCode>
                <c:ptCount val="3"/>
                <c:pt idx="0">
                  <c:v>2230.2435975609751</c:v>
                </c:pt>
                <c:pt idx="1">
                  <c:v>2536.8978658536585</c:v>
                </c:pt>
                <c:pt idx="2">
                  <c:v>2812.4810975609753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5-45BF-BDB9-411CE181C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28303"/>
        <c:axId val="65523311"/>
      </c:lineChart>
      <c:catAx>
        <c:axId val="6552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23311"/>
        <c:crosses val="autoZero"/>
        <c:auto val="1"/>
        <c:lblAlgn val="ctr"/>
        <c:lblOffset val="100"/>
        <c:noMultiLvlLbl val="0"/>
      </c:catAx>
      <c:valAx>
        <c:axId val="6552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2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45604</xdr:colOff>
      <xdr:row>1</xdr:row>
      <xdr:rowOff>0</xdr:rowOff>
    </xdr:from>
    <xdr:to>
      <xdr:col>3</xdr:col>
      <xdr:colOff>996134</xdr:colOff>
      <xdr:row>3</xdr:row>
      <xdr:rowOff>85436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33" y="179294"/>
          <a:ext cx="2519354" cy="735377"/>
        </a:xfrm>
        <a:prstGeom prst="rect">
          <a:avLst/>
        </a:prstGeom>
      </xdr:spPr>
    </xdr:pic>
    <xdr:clientData/>
  </xdr:twoCellAnchor>
  <xdr:twoCellAnchor>
    <xdr:from>
      <xdr:col>14</xdr:col>
      <xdr:colOff>1927412</xdr:colOff>
      <xdr:row>1</xdr:row>
      <xdr:rowOff>56037</xdr:rowOff>
    </xdr:from>
    <xdr:to>
      <xdr:col>14</xdr:col>
      <xdr:colOff>4047659</xdr:colOff>
      <xdr:row>3</xdr:row>
      <xdr:rowOff>183831</xdr:rowOff>
    </xdr:to>
    <xdr:sp macro="" textlink="">
      <xdr:nvSpPr>
        <xdr:cNvPr id="11" name="Texto Explicativo: Linha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3749618" y="235331"/>
          <a:ext cx="2120247" cy="777735"/>
        </a:xfrm>
        <a:prstGeom prst="borderCallout1">
          <a:avLst>
            <a:gd name="adj1" fmla="val 49357"/>
            <a:gd name="adj2" fmla="val 104956"/>
            <a:gd name="adj3" fmla="val 139619"/>
            <a:gd name="adj4" fmla="val 148254"/>
          </a:avLst>
        </a:prstGeom>
        <a:ln>
          <a:solidFill>
            <a:schemeClr val="tx1"/>
          </a:solidFill>
        </a:ln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Utilizar este perfil somente mediante autorização!</a:t>
          </a:r>
        </a:p>
      </xdr:txBody>
    </xdr:sp>
    <xdr:clientData/>
  </xdr:twoCellAnchor>
  <xdr:twoCellAnchor>
    <xdr:from>
      <xdr:col>1</xdr:col>
      <xdr:colOff>103910</xdr:colOff>
      <xdr:row>22</xdr:row>
      <xdr:rowOff>39830</xdr:rowOff>
    </xdr:from>
    <xdr:to>
      <xdr:col>12</xdr:col>
      <xdr:colOff>17319</xdr:colOff>
      <xdr:row>36</xdr:row>
      <xdr:rowOff>34636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25</xdr:row>
          <xdr:rowOff>219075</xdr:rowOff>
        </xdr:from>
        <xdr:to>
          <xdr:col>14</xdr:col>
          <xdr:colOff>2409825</xdr:colOff>
          <xdr:row>26</xdr:row>
          <xdr:rowOff>295275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t>Copiar Escopo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236D-F680-4F2A-9BE1-6CC411049A28}">
  <dimension ref="A2:F27"/>
  <sheetViews>
    <sheetView workbookViewId="0">
      <selection activeCell="C8" sqref="C8"/>
    </sheetView>
  </sheetViews>
  <sheetFormatPr defaultColWidth="8.85546875" defaultRowHeight="15" x14ac:dyDescent="0.25"/>
  <cols>
    <col min="1" max="1" width="7.42578125" customWidth="1"/>
    <col min="2" max="2" width="82.42578125" customWidth="1"/>
    <col min="3" max="3" width="15.140625" bestFit="1" customWidth="1"/>
    <col min="4" max="4" width="16.42578125" style="5" customWidth="1"/>
    <col min="5" max="5" width="17.85546875" customWidth="1"/>
    <col min="6" max="6" width="9.42578125" bestFit="1" customWidth="1"/>
  </cols>
  <sheetData>
    <row r="2" spans="1:6" x14ac:dyDescent="0.25">
      <c r="A2" s="126" t="s">
        <v>0</v>
      </c>
      <c r="B2" s="126"/>
      <c r="C2" s="126"/>
      <c r="D2" s="126"/>
      <c r="E2" s="126"/>
    </row>
    <row r="3" spans="1:6" ht="15.75" thickBot="1" x14ac:dyDescent="0.3"/>
    <row r="4" spans="1:6" x14ac:dyDescent="0.25">
      <c r="A4" s="91" t="s">
        <v>1</v>
      </c>
      <c r="B4" s="92" t="s">
        <v>2</v>
      </c>
      <c r="C4" s="93" t="s">
        <v>3</v>
      </c>
      <c r="D4" s="94" t="s">
        <v>4</v>
      </c>
      <c r="E4" s="95" t="s">
        <v>5</v>
      </c>
    </row>
    <row r="5" spans="1:6" ht="30" x14ac:dyDescent="0.25">
      <c r="A5" s="87">
        <v>1</v>
      </c>
      <c r="B5" s="84" t="s">
        <v>6</v>
      </c>
      <c r="C5" s="83">
        <v>107</v>
      </c>
      <c r="D5" s="85">
        <v>75.158536585365866</v>
      </c>
      <c r="E5" s="88">
        <f>C5*D5</f>
        <v>8041.9634146341477</v>
      </c>
      <c r="F5" s="1"/>
    </row>
    <row r="6" spans="1:6" x14ac:dyDescent="0.25">
      <c r="A6" s="87">
        <v>2</v>
      </c>
      <c r="B6" s="84" t="s">
        <v>7</v>
      </c>
      <c r="C6" s="83">
        <v>100</v>
      </c>
      <c r="D6" s="85">
        <v>34.048780487804883</v>
      </c>
      <c r="E6" s="88">
        <f>C6*D6</f>
        <v>3404.8780487804884</v>
      </c>
      <c r="F6" s="1"/>
    </row>
    <row r="7" spans="1:6" x14ac:dyDescent="0.25">
      <c r="A7" s="87">
        <v>3</v>
      </c>
      <c r="B7" s="84" t="s">
        <v>8</v>
      </c>
      <c r="C7" s="83">
        <v>40</v>
      </c>
      <c r="D7" s="85">
        <v>263.41463414634148</v>
      </c>
      <c r="E7" s="88">
        <f>C7*D7</f>
        <v>10536.58536585366</v>
      </c>
      <c r="F7" s="1"/>
    </row>
    <row r="8" spans="1:6" ht="75" x14ac:dyDescent="0.25">
      <c r="A8" s="87">
        <v>4</v>
      </c>
      <c r="B8" s="84" t="s">
        <v>9</v>
      </c>
      <c r="C8" s="44">
        <v>1</v>
      </c>
      <c r="D8" s="86">
        <v>2782.5698988697209</v>
      </c>
      <c r="E8" s="89">
        <f>C8*D8</f>
        <v>2782.5698988697209</v>
      </c>
      <c r="F8" s="1"/>
    </row>
    <row r="9" spans="1:6" x14ac:dyDescent="0.25">
      <c r="A9" s="87">
        <v>5</v>
      </c>
      <c r="B9" s="84" t="s">
        <v>10</v>
      </c>
      <c r="C9" s="124" t="s">
        <v>11</v>
      </c>
      <c r="D9" s="124"/>
      <c r="E9" s="125"/>
    </row>
    <row r="10" spans="1:6" ht="15.75" thickBot="1" x14ac:dyDescent="0.3">
      <c r="A10" s="127" t="s">
        <v>12</v>
      </c>
      <c r="B10" s="128"/>
      <c r="C10" s="128"/>
      <c r="D10" s="128"/>
      <c r="E10" s="90">
        <f>SUM(E5:E8)</f>
        <v>24765.99672813802</v>
      </c>
    </row>
    <row r="11" spans="1:6" x14ac:dyDescent="0.25">
      <c r="A11" s="123" t="s">
        <v>13</v>
      </c>
      <c r="B11" s="123"/>
      <c r="C11" s="123"/>
      <c r="D11" s="123"/>
      <c r="E11" s="123"/>
    </row>
    <row r="12" spans="1:6" x14ac:dyDescent="0.25">
      <c r="B12" s="6"/>
      <c r="D12" s="82"/>
      <c r="E12" s="82"/>
    </row>
    <row r="13" spans="1:6" x14ac:dyDescent="0.25">
      <c r="A13" s="126" t="s">
        <v>14</v>
      </c>
      <c r="B13" s="126"/>
      <c r="C13" s="126"/>
      <c r="D13" s="126"/>
      <c r="E13" s="126"/>
    </row>
    <row r="14" spans="1:6" ht="15.75" thickBot="1" x14ac:dyDescent="0.3">
      <c r="B14" s="6"/>
      <c r="D14" s="82"/>
      <c r="E14" s="82"/>
    </row>
    <row r="15" spans="1:6" x14ac:dyDescent="0.25">
      <c r="A15" s="91" t="s">
        <v>1</v>
      </c>
      <c r="B15" s="92" t="s">
        <v>2</v>
      </c>
      <c r="C15" s="95" t="s">
        <v>4</v>
      </c>
      <c r="D15"/>
    </row>
    <row r="16" spans="1:6" x14ac:dyDescent="0.25">
      <c r="A16" s="87">
        <v>1</v>
      </c>
      <c r="B16" s="84" t="s">
        <v>15</v>
      </c>
      <c r="C16" s="88">
        <v>263.41000000000003</v>
      </c>
      <c r="D16"/>
    </row>
    <row r="17" spans="1:5" x14ac:dyDescent="0.25">
      <c r="A17" s="87">
        <v>2</v>
      </c>
      <c r="B17" s="84" t="s">
        <v>16</v>
      </c>
      <c r="C17" s="88">
        <f>D5</f>
        <v>75.158536585365866</v>
      </c>
      <c r="D17"/>
    </row>
    <row r="18" spans="1:5" x14ac:dyDescent="0.25">
      <c r="A18" s="87">
        <v>3</v>
      </c>
      <c r="B18" s="84" t="s">
        <v>17</v>
      </c>
      <c r="C18" s="88">
        <v>10.220000000000001</v>
      </c>
      <c r="D18"/>
    </row>
    <row r="19" spans="1:5" x14ac:dyDescent="0.25">
      <c r="A19" s="87">
        <v>4</v>
      </c>
      <c r="B19" s="84" t="s">
        <v>18</v>
      </c>
      <c r="C19" s="89" t="s">
        <v>19</v>
      </c>
      <c r="D19"/>
    </row>
    <row r="20" spans="1:5" ht="15.75" thickBot="1" x14ac:dyDescent="0.3">
      <c r="A20" s="96">
        <v>5</v>
      </c>
      <c r="B20" s="97" t="s">
        <v>20</v>
      </c>
      <c r="C20" s="89" t="s">
        <v>19</v>
      </c>
      <c r="D20"/>
    </row>
    <row r="21" spans="1:5" x14ac:dyDescent="0.25">
      <c r="B21" s="6"/>
      <c r="D21" s="82"/>
      <c r="E21" s="82"/>
    </row>
    <row r="22" spans="1:5" x14ac:dyDescent="0.25">
      <c r="B22" s="6"/>
      <c r="D22" s="82"/>
      <c r="E22" s="82"/>
    </row>
    <row r="23" spans="1:5" x14ac:dyDescent="0.25">
      <c r="B23" s="6"/>
    </row>
    <row r="24" spans="1:5" x14ac:dyDescent="0.25">
      <c r="B24" s="6"/>
    </row>
    <row r="25" spans="1:5" x14ac:dyDescent="0.25">
      <c r="B25" s="6"/>
    </row>
    <row r="26" spans="1:5" x14ac:dyDescent="0.25">
      <c r="B26" s="6"/>
    </row>
    <row r="27" spans="1:5" x14ac:dyDescent="0.25">
      <c r="B27" s="6"/>
    </row>
  </sheetData>
  <mergeCells count="5">
    <mergeCell ref="A11:E11"/>
    <mergeCell ref="C9:E9"/>
    <mergeCell ref="A2:E2"/>
    <mergeCell ref="A10:D10"/>
    <mergeCell ref="A13:E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B41C-EAB9-466C-9E37-D9E17A4232D5}">
  <sheetPr codeName="Planilha1">
    <pageSetUpPr fitToPage="1"/>
  </sheetPr>
  <dimension ref="A2:S48"/>
  <sheetViews>
    <sheetView showGridLines="0" tabSelected="1" zoomScale="85" zoomScaleNormal="85" workbookViewId="0">
      <selection activeCell="H22" sqref="H22"/>
    </sheetView>
  </sheetViews>
  <sheetFormatPr defaultColWidth="8.7109375" defaultRowHeight="14.25" x14ac:dyDescent="0.25"/>
  <cols>
    <col min="1" max="1" width="3.85546875" style="8" customWidth="1"/>
    <col min="2" max="3" width="11.7109375" style="8" customWidth="1"/>
    <col min="4" max="8" width="16.28515625" style="8" customWidth="1"/>
    <col min="9" max="9" width="17.85546875" style="8" bestFit="1" customWidth="1"/>
    <col min="10" max="11" width="16.28515625" style="8" customWidth="1"/>
    <col min="12" max="12" width="9.42578125" style="8" customWidth="1"/>
    <col min="13" max="14" width="4.42578125" style="8" customWidth="1"/>
    <col min="15" max="15" width="64.28515625" style="8" customWidth="1"/>
    <col min="16" max="18" width="21.42578125" style="8" customWidth="1"/>
    <col min="19" max="16384" width="8.7109375" style="8"/>
  </cols>
  <sheetData>
    <row r="2" spans="2:19" ht="27" x14ac:dyDescent="0.25">
      <c r="C2" s="81"/>
      <c r="D2" s="81"/>
      <c r="E2" s="119" t="s">
        <v>21</v>
      </c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</row>
    <row r="3" spans="2:19" ht="24.6" customHeight="1" x14ac:dyDescent="0.25"/>
    <row r="4" spans="2:19" ht="15" x14ac:dyDescent="0.25">
      <c r="B4" s="56" t="s">
        <v>22</v>
      </c>
      <c r="C4" s="57"/>
      <c r="D4" s="57"/>
      <c r="E4" s="57"/>
      <c r="F4" s="57"/>
      <c r="G4" s="57"/>
      <c r="H4" s="56" t="s">
        <v>23</v>
      </c>
      <c r="I4" s="57"/>
    </row>
    <row r="5" spans="2:19" ht="24.75" customHeight="1" thickBot="1" x14ac:dyDescent="0.3">
      <c r="B5" s="116"/>
      <c r="C5" s="117"/>
      <c r="D5" s="117"/>
      <c r="E5" s="117"/>
      <c r="F5" s="118"/>
      <c r="H5" s="120"/>
      <c r="I5" s="120"/>
      <c r="J5" s="120"/>
      <c r="K5" s="120"/>
      <c r="L5" s="120"/>
    </row>
    <row r="6" spans="2:19" ht="44.25" thickBot="1" x14ac:dyDescent="0.3">
      <c r="O6" s="52" t="s">
        <v>24</v>
      </c>
      <c r="P6" s="48" t="s">
        <v>25</v>
      </c>
      <c r="Q6" s="48" t="s">
        <v>26</v>
      </c>
      <c r="R6" s="78" t="s">
        <v>27</v>
      </c>
    </row>
    <row r="7" spans="2:19" ht="25.5" customHeight="1" x14ac:dyDescent="0.25">
      <c r="B7" s="56" t="s">
        <v>28</v>
      </c>
      <c r="C7" s="57"/>
      <c r="D7" s="56" t="s">
        <v>29</v>
      </c>
      <c r="E7" s="57"/>
      <c r="F7" s="57"/>
      <c r="G7" s="57"/>
      <c r="H7" s="57"/>
      <c r="I7" s="57"/>
      <c r="J7" s="56" t="s">
        <v>30</v>
      </c>
      <c r="O7" s="50" t="s">
        <v>31</v>
      </c>
      <c r="P7" s="105" t="str">
        <f>IF($L$11="SIM",IF($L$21="NÃO","Alto","Médio"),"Baixo")</f>
        <v>Alto</v>
      </c>
      <c r="Q7" s="106"/>
      <c r="R7" s="107"/>
    </row>
    <row r="8" spans="2:19" ht="25.5" customHeight="1" x14ac:dyDescent="0.25">
      <c r="B8" s="7"/>
      <c r="D8" s="122" t="s">
        <v>32</v>
      </c>
      <c r="E8" s="122"/>
      <c r="F8" s="122"/>
      <c r="G8" s="122"/>
      <c r="H8" s="122"/>
      <c r="J8" s="121">
        <f ca="1">TODAY()</f>
        <v>46059</v>
      </c>
      <c r="K8" s="121"/>
      <c r="L8" s="121"/>
      <c r="O8" s="100" t="s">
        <v>33</v>
      </c>
      <c r="P8" s="101"/>
      <c r="Q8" s="101"/>
      <c r="R8" s="102"/>
    </row>
    <row r="9" spans="2:19" ht="25.5" customHeight="1" x14ac:dyDescent="0.25">
      <c r="O9" s="49" t="s">
        <v>34</v>
      </c>
      <c r="P9" s="46">
        <f>IF($L11="SIM",Dados!B31,Dados!B27)</f>
        <v>0.15</v>
      </c>
      <c r="Q9" s="46">
        <f>IF($L11="SIM",Dados!C31,Dados!C27)</f>
        <v>0.25</v>
      </c>
      <c r="R9" s="47">
        <f>IF($L11="SIM",Dados!D31,Dados!D27)</f>
        <v>0.3</v>
      </c>
    </row>
    <row r="10" spans="2:19" ht="25.5" customHeight="1" x14ac:dyDescent="0.25">
      <c r="B10" s="111" t="s">
        <v>35</v>
      </c>
      <c r="C10" s="111"/>
      <c r="D10" s="111"/>
      <c r="E10" s="111"/>
      <c r="F10" s="111"/>
      <c r="G10" s="111"/>
      <c r="H10" s="111"/>
      <c r="I10" s="111"/>
      <c r="J10" s="111"/>
      <c r="K10" s="111"/>
      <c r="L10" s="35" t="s">
        <v>36</v>
      </c>
      <c r="O10" s="49" t="str">
        <f>E18&amp;IF(L10="SIM"," para "&amp;F15&amp;" VMs",)</f>
        <v>Veeam Backup &amp; Replication STAN para 10 VMs</v>
      </c>
      <c r="P10" s="51">
        <f>IF($L$10="SIM",(($F$15*VLOOKUP($E$18,Dados!$F$15:$I$19,4,FALSE)*VLOOKUP($K$16,Dados!$K$1:$L$10,2,FALSE)*$H$22)+($L$15*VLOOKUP($E$18,Dados!$F$7:$I$11,4,FALSE)*VLOOKUP($K$16,Dados!$K$1:$L$10,2,FALSE)*$H$22))*(1+P9),0)</f>
        <v>277.72499999999997</v>
      </c>
      <c r="Q10" s="51">
        <f>IF($L$10="SIM",(($F$15*VLOOKUP($E$18,Dados!$F$15:$I$19,4,FALSE)*VLOOKUP($K$16,Dados!$K$1:$L$10,2,FALSE)*$H$22)+($L$15*VLOOKUP($E$18,Dados!$F$7:$I$11,4,FALSE)*VLOOKUP($K$16,Dados!$K$1:$L$10,2,FALSE)*$H$22))*(1+Q9),0)</f>
        <v>301.875</v>
      </c>
      <c r="R10" s="53">
        <f>IF($L$10="SIM",(($F$15*VLOOKUP($E$18,Dados!$F$15:$I$19,4,FALSE)*VLOOKUP($K$16,Dados!$K$1:$L$10,2,FALSE)*$H$22)+($L$15*VLOOKUP($E$18,Dados!$F$7:$I$11,4,FALSE)*VLOOKUP($K$16,Dados!$K$1:$L$10,2,FALSE)*$H$22))*(1+R9),0)</f>
        <v>313.95</v>
      </c>
    </row>
    <row r="11" spans="2:19" ht="25.5" customHeight="1" x14ac:dyDescent="0.25">
      <c r="B11" s="111" t="s">
        <v>37</v>
      </c>
      <c r="C11" s="111"/>
      <c r="D11" s="111"/>
      <c r="E11" s="111"/>
      <c r="F11" s="111"/>
      <c r="G11" s="111"/>
      <c r="H11" s="111"/>
      <c r="I11" s="111"/>
      <c r="J11" s="111"/>
      <c r="K11" s="111"/>
      <c r="L11" s="35" t="s">
        <v>36</v>
      </c>
      <c r="O11" s="75" t="str">
        <f>"Veeam Backup for Microsoft Office 365"&amp;IF(L14="SIM"," para "&amp;L19&amp;" mailboxes",)</f>
        <v>Veeam Backup for Microsoft Office 365 para 37 mailboxes</v>
      </c>
      <c r="P11" s="51">
        <f>IF($L$14="SIM",$L$19*Dados!$I$14*VLOOKUP($K$16,Dados!$K$1:$L$10,2,FALSE)*$H$22*(1+P9),0)</f>
        <v>308.27474999999993</v>
      </c>
      <c r="Q11" s="51">
        <f>IF($L$14="SIM",$L$19*Dados!$I$14*VLOOKUP($K$16,Dados!$K$1:$L$10,2,FALSE)*$H$22*(1+Q9),0)</f>
        <v>335.08124999999995</v>
      </c>
      <c r="R11" s="53">
        <f>IF($L$14="SIM",$L$19*Dados!$I$14*VLOOKUP($K$16,Dados!$K$1:$L$10,2,FALSE)*$H$22*(1+R9),0)</f>
        <v>348.48449999999991</v>
      </c>
    </row>
    <row r="12" spans="2:19" ht="25.5" customHeight="1" x14ac:dyDescent="0.25">
      <c r="B12" s="111" t="s">
        <v>38</v>
      </c>
      <c r="C12" s="111"/>
      <c r="D12" s="111"/>
      <c r="E12" s="111"/>
      <c r="F12" s="111"/>
      <c r="G12" s="111"/>
      <c r="H12" s="111"/>
      <c r="I12" s="111"/>
      <c r="J12" s="111"/>
      <c r="K12" s="111"/>
      <c r="L12" s="35" t="s">
        <v>39</v>
      </c>
      <c r="O12" s="49" t="str">
        <f>"Veeam Cloud Connect"&amp;IF(L13="SIM"," para "&amp;F15&amp;" VMs",)</f>
        <v>Veeam Cloud Connect para 10 VMs</v>
      </c>
      <c r="P12" s="51">
        <f>IF(L10="SIM",0,IF($L13="SIM",($F15*Dados!$I18)*VLOOKUP('Análise Interna'!$K16,Dados!$K1:$L10,2,FALSE)*$H22*(1+P9),0))</f>
        <v>0</v>
      </c>
      <c r="Q12" s="51">
        <f>IF(L10="SIM",0,IF($L13="SIM",($F15*Dados!$I18)*VLOOKUP('Análise Interna'!$K16,Dados!$K1:$L10,2,FALSE)*$H22*(1+Q9),0))</f>
        <v>0</v>
      </c>
      <c r="R12" s="53">
        <f>IF(L10="SIM",0,IF($L13="SIM",($F15*Dados!$I18)*VLOOKUP('Análise Interna'!$K16,Dados!$K1:$L10,2,FALSE)*$H22*(1+R9),0))</f>
        <v>0</v>
      </c>
    </row>
    <row r="13" spans="2:19" ht="25.5" customHeight="1" x14ac:dyDescent="0.25">
      <c r="B13" s="111" t="s">
        <v>40</v>
      </c>
      <c r="C13" s="111"/>
      <c r="D13" s="111"/>
      <c r="E13" s="111"/>
      <c r="F13" s="111"/>
      <c r="G13" s="111"/>
      <c r="H13" s="111"/>
      <c r="I13" s="111"/>
      <c r="J13" s="111"/>
      <c r="K13" s="111"/>
      <c r="L13" s="35" t="s">
        <v>36</v>
      </c>
      <c r="O13" s="100" t="s">
        <v>41</v>
      </c>
      <c r="P13" s="101"/>
      <c r="Q13" s="101"/>
      <c r="R13" s="102"/>
    </row>
    <row r="14" spans="2:19" ht="25.5" customHeight="1" x14ac:dyDescent="0.25">
      <c r="B14" s="111" t="s">
        <v>42</v>
      </c>
      <c r="C14" s="111"/>
      <c r="D14" s="111"/>
      <c r="E14" s="111"/>
      <c r="F14" s="111"/>
      <c r="G14" s="111"/>
      <c r="H14" s="111"/>
      <c r="I14" s="111"/>
      <c r="J14" s="111"/>
      <c r="K14" s="111"/>
      <c r="L14" s="35" t="s">
        <v>36</v>
      </c>
      <c r="O14" s="49" t="str">
        <f>"Aquisição servidor para repositório local: "&amp;IF(L12="SIM",L18&amp;" TB","")</f>
        <v xml:space="preserve">Aquisição servidor para repositório local: </v>
      </c>
      <c r="P14" s="51">
        <f>IF($L$12="SIM",$I$20,0)</f>
        <v>0</v>
      </c>
      <c r="Q14" s="51">
        <f>IF($L$12="SIM",$I$20,0)</f>
        <v>0</v>
      </c>
      <c r="R14" s="53">
        <f>IF($L$12="SIM",$I$20,0)</f>
        <v>0</v>
      </c>
    </row>
    <row r="15" spans="2:19" ht="25.5" customHeight="1" x14ac:dyDescent="0.25">
      <c r="B15" s="111" t="s">
        <v>43</v>
      </c>
      <c r="C15" s="111"/>
      <c r="D15" s="111"/>
      <c r="E15" s="111"/>
      <c r="F15" s="35">
        <v>10</v>
      </c>
      <c r="G15" s="43"/>
      <c r="H15" s="111" t="s">
        <v>44</v>
      </c>
      <c r="I15" s="111"/>
      <c r="J15" s="111"/>
      <c r="K15" s="111"/>
      <c r="L15" s="35">
        <v>0</v>
      </c>
      <c r="O15" s="49" t="s">
        <v>45</v>
      </c>
      <c r="P15" s="76" t="str">
        <f>IF($L12="SIM",VLOOKUP('Análise Interna'!P7,Dados!$K13:$N16,2,FALSE)&amp;" meses","")</f>
        <v/>
      </c>
      <c r="Q15" s="76" t="str">
        <f>IF($L12="SIM",VLOOKUP('Análise Interna'!P7,Dados!$K13:$N16,3,FALSE)&amp;" meses","")</f>
        <v/>
      </c>
      <c r="R15" s="79" t="str">
        <f>IF($L12="SIM",VLOOKUP('Análise Interna'!P7,Dados!$K13:$N16,4,FALSE)&amp;" meses","")</f>
        <v/>
      </c>
    </row>
    <row r="16" spans="2:19" ht="25.5" customHeight="1" x14ac:dyDescent="0.25">
      <c r="B16" s="111" t="s">
        <v>46</v>
      </c>
      <c r="C16" s="111"/>
      <c r="D16" s="111"/>
      <c r="E16" s="111"/>
      <c r="F16" s="111"/>
      <c r="G16" s="111"/>
      <c r="H16" s="111"/>
      <c r="I16" s="111"/>
      <c r="J16" s="111"/>
      <c r="K16" s="112" t="s">
        <v>79</v>
      </c>
      <c r="L16" s="113"/>
      <c r="O16" s="49" t="s">
        <v>48</v>
      </c>
      <c r="P16" s="51">
        <f>IF($L12="SIM",P14/LEFT(P15,2),0)</f>
        <v>0</v>
      </c>
      <c r="Q16" s="51">
        <f>IF($L12="SIM",Q14/LEFT(Q15,2),0)</f>
        <v>0</v>
      </c>
      <c r="R16" s="53">
        <f>IF($L12="SIM",R14/LEFT(R15,2),0)</f>
        <v>0</v>
      </c>
    </row>
    <row r="17" spans="1:18" ht="25.5" customHeight="1" x14ac:dyDescent="0.25"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O17" s="49" t="str">
        <f>"Armazenamento em nuvem (Zerobox): "&amp;IF(L13="SIM",G19&amp;" TB","")</f>
        <v>Armazenamento em nuvem (Zerobox): 1 TB</v>
      </c>
      <c r="P17" s="51">
        <f>IF($L13="SIM",$G19*Dados!$B20,0)*0.8</f>
        <v>159.20000000000002</v>
      </c>
      <c r="Q17" s="51">
        <f>IF($L13="SIM",$G19*Dados!$B20,0)*0.9</f>
        <v>179.1</v>
      </c>
      <c r="R17" s="53">
        <f>IF($L13="SIM",$G19*Dados!$B20,0)</f>
        <v>199</v>
      </c>
    </row>
    <row r="18" spans="1:18" ht="25.5" customHeight="1" x14ac:dyDescent="0.25">
      <c r="B18" s="114" t="str">
        <f>IF(L10="SIM","Edição para software Veeam","")</f>
        <v>Edição para software Veeam</v>
      </c>
      <c r="C18" s="114"/>
      <c r="D18" s="114"/>
      <c r="E18" s="115" t="s">
        <v>87</v>
      </c>
      <c r="F18" s="115"/>
      <c r="G18" s="115"/>
      <c r="H18" s="67"/>
      <c r="I18" s="114" t="str">
        <f>IF(L12="SIM","Área mínimo servidor local em TB","")</f>
        <v/>
      </c>
      <c r="J18" s="114"/>
      <c r="K18" s="114"/>
      <c r="L18" s="68">
        <v>30</v>
      </c>
      <c r="O18" s="100" t="s">
        <v>50</v>
      </c>
      <c r="P18" s="101"/>
      <c r="Q18" s="101"/>
      <c r="R18" s="102"/>
    </row>
    <row r="19" spans="1:18" ht="25.5" customHeight="1" x14ac:dyDescent="0.25">
      <c r="B19" s="114" t="str">
        <f>IF(L13="SIM","Área necessária para armazenamento em nuvem (TB)","")</f>
        <v>Área necessária para armazenamento em nuvem (TB)</v>
      </c>
      <c r="C19" s="114"/>
      <c r="D19" s="114"/>
      <c r="E19" s="114"/>
      <c r="F19" s="114"/>
      <c r="G19" s="68">
        <v>1</v>
      </c>
      <c r="H19" s="67"/>
      <c r="I19" s="114" t="str">
        <f>IF(L14="SIM","Quantidade de Mailboxes Office 365","")</f>
        <v>Quantidade de Mailboxes Office 365</v>
      </c>
      <c r="J19" s="114"/>
      <c r="K19" s="114"/>
      <c r="L19" s="68">
        <v>37</v>
      </c>
      <c r="O19" s="49" t="str">
        <f>"Risco "&amp;P7&amp;" aplicado ao Serviço Gerenciado"</f>
        <v>Risco Alto aplicado ao Serviço Gerenciado</v>
      </c>
      <c r="P19" s="46">
        <f>IF($L11="SIM",VLOOKUP(P7,Dados!$K19:$N22,2,FALSE),"")</f>
        <v>1.2</v>
      </c>
      <c r="Q19" s="46">
        <f>IF($L11="SIM",VLOOKUP(P7,Dados!$K19:$N22,3,FALSE),"")</f>
        <v>1.4</v>
      </c>
      <c r="R19" s="47">
        <f>IF($L11="SIM",VLOOKUP(P7,Dados!$K19:$N22,4,FALSE),"")</f>
        <v>1.6</v>
      </c>
    </row>
    <row r="20" spans="1:18" ht="25.5" customHeight="1" x14ac:dyDescent="0.25">
      <c r="B20" s="114" t="str">
        <f>IF(L12="SIM","Valor para aquisição de servidor para armazenamento local, com pelo menos "&amp;L18&amp;" TB","")</f>
        <v/>
      </c>
      <c r="C20" s="114"/>
      <c r="D20" s="114"/>
      <c r="E20" s="114"/>
      <c r="F20" s="114"/>
      <c r="G20" s="114"/>
      <c r="H20" s="114"/>
      <c r="I20" s="69">
        <v>90000</v>
      </c>
      <c r="J20" s="70"/>
      <c r="K20" s="70"/>
      <c r="L20" s="67"/>
      <c r="O20" s="49" t="s">
        <v>51</v>
      </c>
      <c r="P20" s="51">
        <f>IF($L$11="SIM",(((($F$15+$L$15)*Dados!$D$9)+IF($L$14="SIM",Dados!$D$10,0))*$H$22)*P19,0)</f>
        <v>1083.5999999999999</v>
      </c>
      <c r="Q20" s="51">
        <f>IF($L$11="SIM",(((($F$15+$L$15)*Dados!$D$9)+IF($L$14="SIM",Dados!$D$10,0))*$H$22)*Q19,0)</f>
        <v>1264.1999999999998</v>
      </c>
      <c r="R20" s="53">
        <f>IF($L$11="SIM",(((($F$15+$L$15)*Dados!$D$9)+IF($L$14="SIM",Dados!$D$10,0))*$H$22)*R19,0)</f>
        <v>1444.8000000000002</v>
      </c>
    </row>
    <row r="21" spans="1:18" ht="25.5" customHeight="1" x14ac:dyDescent="0.25">
      <c r="B21" s="114" t="str">
        <f>IF(L11="SIM","Considerando a operação do backup pela Gruppen, o ambiente do cliente incluído no escopo terá backup duplo?","")</f>
        <v>Considerando a operação do backup pela Gruppen, o ambiente do cliente incluído no escopo terá backup duplo?</v>
      </c>
      <c r="C21" s="114"/>
      <c r="D21" s="114"/>
      <c r="E21" s="114"/>
      <c r="F21" s="114"/>
      <c r="G21" s="114"/>
      <c r="H21" s="114"/>
      <c r="I21" s="114"/>
      <c r="J21" s="114"/>
      <c r="K21" s="114"/>
      <c r="L21" s="71" t="s">
        <v>39</v>
      </c>
      <c r="O21" s="49" t="s">
        <v>52</v>
      </c>
      <c r="P21" s="51">
        <f>IF($L$11="SIM",(((($F$15+$L$15)*Dados!$C$9)+IF($L$14="SIM",Dados!$C$10,0))*$H$22)*P19,0)</f>
        <v>2175.6</v>
      </c>
      <c r="Q21" s="51">
        <f>IF($L$11="SIM",(((($F$15+$L$15)*Dados!$C$9)+IF($L$14="SIM",Dados!$C$10,0))*$H$22)*Q19,0)</f>
        <v>2538.1999999999998</v>
      </c>
      <c r="R21" s="53">
        <f>IF($L$11="SIM",(((($F$15+$L$15)*Dados!$C$9)+IF($L$14="SIM",Dados!$C$10,0))*$H$22)*R19,0)</f>
        <v>2900.8</v>
      </c>
    </row>
    <row r="22" spans="1:18" ht="25.5" customHeight="1" x14ac:dyDescent="0.25">
      <c r="B22" s="104" t="str">
        <f>"Fixe-se no campo ao lado o dolar a ser considerado (dolar de hoje R$ "&amp;Dados!B2&amp;"):"</f>
        <v>Fixe-se no campo ao lado o dolar a ser considerado (dolar de hoje R$ ):</v>
      </c>
      <c r="C22" s="104"/>
      <c r="D22" s="104"/>
      <c r="E22" s="104"/>
      <c r="F22" s="104"/>
      <c r="G22" s="104"/>
      <c r="H22" s="72">
        <v>7</v>
      </c>
      <c r="O22" s="100" t="s">
        <v>53</v>
      </c>
      <c r="P22" s="101"/>
      <c r="Q22" s="101"/>
      <c r="R22" s="102"/>
    </row>
    <row r="23" spans="1:18" ht="25.5" customHeight="1" x14ac:dyDescent="0.25">
      <c r="B23" s="42"/>
      <c r="C23" s="42"/>
      <c r="D23" s="42"/>
      <c r="E23" s="42"/>
      <c r="F23" s="42"/>
      <c r="G23" s="42"/>
      <c r="H23" s="73"/>
      <c r="O23" s="49" t="s">
        <v>54</v>
      </c>
      <c r="P23" s="108">
        <v>0.18</v>
      </c>
      <c r="Q23" s="109"/>
      <c r="R23" s="110"/>
    </row>
    <row r="24" spans="1:18" ht="25.5" customHeight="1" x14ac:dyDescent="0.25">
      <c r="O24" s="74" t="s">
        <v>55</v>
      </c>
      <c r="P24" s="77">
        <f>P25*$P23</f>
        <v>401.44384756097548</v>
      </c>
      <c r="Q24" s="77">
        <f t="shared" ref="Q24:R24" si="0">Q25*$P23</f>
        <v>456.64161585365849</v>
      </c>
      <c r="R24" s="80">
        <f t="shared" si="0"/>
        <v>506.24659756097554</v>
      </c>
    </row>
    <row r="25" spans="1:18" ht="25.5" customHeight="1" thickBot="1" x14ac:dyDescent="0.3">
      <c r="A25" s="58"/>
      <c r="O25" s="54" t="s">
        <v>56</v>
      </c>
      <c r="P25" s="55">
        <f>(SUM(P10:P12)+P16+P17+P20)/(1-$P23)</f>
        <v>2230.2435975609751</v>
      </c>
      <c r="Q25" s="55">
        <f t="shared" ref="Q25:R25" si="1">(SUM(Q10:Q12)+Q16+Q17+Q20)/(1-$P23)</f>
        <v>2536.8978658536585</v>
      </c>
      <c r="R25" s="55">
        <f t="shared" si="1"/>
        <v>2812.4810975609753</v>
      </c>
    </row>
    <row r="26" spans="1:18" ht="25.5" customHeight="1" x14ac:dyDescent="0.25">
      <c r="A26" s="42"/>
    </row>
    <row r="27" spans="1:18" ht="41.45" customHeight="1" x14ac:dyDescent="0.25"/>
    <row r="28" spans="1:18" ht="27" customHeight="1" x14ac:dyDescent="0.25">
      <c r="O28" s="103" t="str">
        <f>"Solução de backup como serviço (BaaS) utilizando tecnologia Veeam conforme escopo dimensionado abaixo:
Itens incluídos:
"&amp;IF(L10="SIM","- Software Veeam Backup and Replication "&amp;VLOOKUP(E18,Dados!F28:G30,2,FALSE)&amp;" para proteção de "&amp;F15&amp;" servidores virtuais"&amp;IF(L15&gt;0," e "&amp;L15&amp;" servidores físicos com Veeam Agent","")&amp;".","")&amp;IF(L14="SIM","
- Software Veeam Backup for Microsoft Office 365 para "&amp;L19&amp;" caixas postais.","")&amp;IF(L13="SIM","
- Repositório para armazenamento em nuvem com capacidade de "&amp;G19&amp;"TB.","")&amp;IF(L12="SIM","
- Locação de servidor Dell EMC para repositório local com capacidade de "&amp;L18&amp;"TB.","")&amp;IF(L11="SIM","
- Serviços Continuados de operação e monitoramento das rotinas de backup, para até "&amp;F15+L15&amp;" servidores"&amp;IF(L14="SIM",", incluindo ambiente Veeam Backup for Office 365.","."),"")&amp;"
* Serviço de setup inicial incluído."&amp;IF(COUNTIF(L10:L14,"NÃO")&gt;0,"
Ítens não incluídos:
"&amp;IF(L10&lt;&gt;"SIM","
- Licenciamento Veeam Backup and Replication.","")&amp;IF(L14&lt;&gt;"SIM","
- Licenciamento Veeam Backup for Microsoft Office 365.","")&amp;IF(L13&lt;&gt;"SIM","
- Repositório para armazenamento em nuvem.","")&amp;IF(L12&lt;&gt;"SIM","
- Locação de servidor para repositório local.","")&amp;IF(L11&lt;&gt;"SIM","
- Serviços Continuados de operação e monitoramento das rotinas de backup.",""),"")</f>
        <v>Solução de backup como serviço (BaaS) utilizando tecnologia Veeam conforme escopo dimensionado abaixo:
Itens incluídos:
- Software Veeam Backup and Replication Standard para proteção de 10 servidores virtuais.
- Software Veeam Backup for Microsoft Office 365 para 37 caixas postais.
- Repositório para armazenamento em nuvem com capacidade de 1TB.
- Serviços Continuados de operação e monitoramento das rotinas de backup, para até 10 servidores, incluindo ambiente Veeam Backup for Office 365.
* Serviço de setup inicial incluído.
Ítens não incluídos:
- Locação de servidor para repositório local.</v>
      </c>
      <c r="P28" s="103"/>
      <c r="Q28" s="103"/>
      <c r="R28" s="103"/>
    </row>
    <row r="29" spans="1:18" ht="23.25" customHeight="1" x14ac:dyDescent="0.25">
      <c r="O29" s="103"/>
      <c r="P29" s="103"/>
      <c r="Q29" s="103"/>
      <c r="R29" s="103"/>
    </row>
    <row r="30" spans="1:18" ht="27" customHeight="1" x14ac:dyDescent="0.25">
      <c r="O30" s="103"/>
      <c r="P30" s="103"/>
      <c r="Q30" s="103"/>
      <c r="R30" s="103"/>
    </row>
    <row r="31" spans="1:18" ht="27" customHeight="1" x14ac:dyDescent="0.25">
      <c r="O31" s="103"/>
      <c r="P31" s="103"/>
      <c r="Q31" s="103"/>
      <c r="R31" s="103"/>
    </row>
    <row r="32" spans="1:18" ht="27" customHeight="1" x14ac:dyDescent="0.25">
      <c r="O32" s="103"/>
      <c r="P32" s="103"/>
      <c r="Q32" s="103"/>
      <c r="R32" s="103"/>
    </row>
    <row r="33" spans="8:18" ht="27" customHeight="1" x14ac:dyDescent="0.25">
      <c r="O33" s="103"/>
      <c r="P33" s="103"/>
      <c r="Q33" s="103"/>
      <c r="R33" s="103"/>
    </row>
    <row r="34" spans="8:18" ht="27" customHeight="1" x14ac:dyDescent="0.25">
      <c r="O34" s="103"/>
      <c r="P34" s="103"/>
      <c r="Q34" s="103"/>
      <c r="R34" s="103"/>
    </row>
    <row r="35" spans="8:18" ht="39" customHeight="1" x14ac:dyDescent="0.25">
      <c r="O35" s="103"/>
      <c r="P35" s="103"/>
      <c r="Q35" s="103"/>
      <c r="R35" s="103"/>
    </row>
    <row r="36" spans="8:18" ht="39" customHeight="1" x14ac:dyDescent="0.25">
      <c r="O36" s="103"/>
      <c r="P36" s="103"/>
      <c r="Q36" s="103"/>
      <c r="R36" s="103"/>
    </row>
    <row r="37" spans="8:18" ht="39" customHeight="1" x14ac:dyDescent="0.25"/>
    <row r="38" spans="8:18" ht="39" customHeight="1" x14ac:dyDescent="0.25"/>
    <row r="39" spans="8:18" ht="39" customHeight="1" x14ac:dyDescent="0.25">
      <c r="H39" s="45"/>
    </row>
    <row r="40" spans="8:18" ht="27" customHeight="1" x14ac:dyDescent="0.25"/>
    <row r="41" spans="8:18" ht="27" customHeight="1" x14ac:dyDescent="0.25"/>
    <row r="42" spans="8:18" ht="27" customHeight="1" x14ac:dyDescent="0.25"/>
    <row r="43" spans="8:18" ht="27" customHeight="1" x14ac:dyDescent="0.25"/>
    <row r="44" spans="8:18" ht="27" customHeight="1" x14ac:dyDescent="0.25"/>
    <row r="45" spans="8:18" ht="27" customHeight="1" x14ac:dyDescent="0.25"/>
    <row r="46" spans="8:18" ht="27" customHeight="1" x14ac:dyDescent="0.25"/>
    <row r="47" spans="8:18" ht="27" customHeight="1" x14ac:dyDescent="0.25"/>
    <row r="48" spans="8:18" ht="27" customHeight="1" x14ac:dyDescent="0.25"/>
  </sheetData>
  <sheetProtection selectLockedCells="1"/>
  <mergeCells count="29">
    <mergeCell ref="B5:F5"/>
    <mergeCell ref="E2:S2"/>
    <mergeCell ref="H5:L5"/>
    <mergeCell ref="J8:L8"/>
    <mergeCell ref="D8:H8"/>
    <mergeCell ref="O8:R8"/>
    <mergeCell ref="O13:R13"/>
    <mergeCell ref="E18:G18"/>
    <mergeCell ref="I18:K18"/>
    <mergeCell ref="I19:K19"/>
    <mergeCell ref="B10:K10"/>
    <mergeCell ref="B11:K11"/>
    <mergeCell ref="O18:R18"/>
    <mergeCell ref="O22:R22"/>
    <mergeCell ref="O28:R36"/>
    <mergeCell ref="B22:G22"/>
    <mergeCell ref="P7:R7"/>
    <mergeCell ref="P23:R23"/>
    <mergeCell ref="B16:J16"/>
    <mergeCell ref="K16:L16"/>
    <mergeCell ref="B12:K12"/>
    <mergeCell ref="B13:K13"/>
    <mergeCell ref="B21:K21"/>
    <mergeCell ref="B19:F19"/>
    <mergeCell ref="B20:H20"/>
    <mergeCell ref="B14:K14"/>
    <mergeCell ref="B18:D18"/>
    <mergeCell ref="B15:E15"/>
    <mergeCell ref="H15:K15"/>
  </mergeCells>
  <conditionalFormatting sqref="E18:G18">
    <cfRule type="expression" dxfId="11" priority="11">
      <formula>$B$18=""</formula>
    </cfRule>
    <cfRule type="expression" dxfId="10" priority="12">
      <formula>$B$18&lt;&gt;""</formula>
    </cfRule>
  </conditionalFormatting>
  <conditionalFormatting sqref="G19">
    <cfRule type="expression" dxfId="9" priority="1">
      <formula>$B$19=""</formula>
    </cfRule>
    <cfRule type="expression" dxfId="8" priority="2">
      <formula>$B$19&lt;&gt;""</formula>
    </cfRule>
  </conditionalFormatting>
  <conditionalFormatting sqref="I20">
    <cfRule type="expression" dxfId="7" priority="7">
      <formula>$B$20=""</formula>
    </cfRule>
    <cfRule type="expression" dxfId="6" priority="8">
      <formula>$B$20&lt;&gt;""</formula>
    </cfRule>
  </conditionalFormatting>
  <conditionalFormatting sqref="L18">
    <cfRule type="expression" dxfId="5" priority="9">
      <formula>$I$18&lt;&gt;""</formula>
    </cfRule>
    <cfRule type="expression" dxfId="4" priority="10">
      <formula>$I$18=""</formula>
    </cfRule>
  </conditionalFormatting>
  <conditionalFormatting sqref="L19">
    <cfRule type="expression" dxfId="3" priority="5">
      <formula>$I$19=""</formula>
    </cfRule>
    <cfRule type="expression" dxfId="2" priority="6">
      <formula>$I$19&lt;&gt;""</formula>
    </cfRule>
  </conditionalFormatting>
  <conditionalFormatting sqref="L21">
    <cfRule type="expression" dxfId="1" priority="3">
      <formula>$B$21=""</formula>
    </cfRule>
    <cfRule type="expression" dxfId="0" priority="4">
      <formula>$B$21&lt;&gt;""</formula>
    </cfRule>
  </conditionalFormatting>
  <dataValidations count="4">
    <dataValidation type="list" showInputMessage="1" showErrorMessage="1" sqref="L21" xr:uid="{BFE13F9D-4C35-422E-AAC5-C40E46BE84E9}">
      <formula1>"SIM,NÃO"</formula1>
    </dataValidation>
    <dataValidation type="whole" allowBlank="1" showInputMessage="1" showErrorMessage="1" sqref="K20" xr:uid="{BC3C364F-49E1-4B37-AA1A-3AE9BF4D08DD}">
      <formula1>1</formula1>
      <formula2>1000</formula2>
    </dataValidation>
    <dataValidation type="decimal" allowBlank="1" showInputMessage="1" showErrorMessage="1" sqref="I20" xr:uid="{3C8635D5-A5C9-4ACF-A4E8-CCD0048D97D0}">
      <formula1>1000</formula1>
      <formula2>1000000</formula2>
    </dataValidation>
    <dataValidation type="list" allowBlank="1" showInputMessage="1" showErrorMessage="1" sqref="L10:L14" xr:uid="{E41C3F12-0912-48C7-9CAE-7F3B89A619BF}">
      <formula1>"SIM,NÃO"</formula1>
    </dataValidation>
  </dataValidations>
  <pageMargins left="0.25" right="0.25" top="0.75" bottom="0.75" header="0.3" footer="0.3"/>
  <pageSetup paperSize="9" scale="57" fitToWidth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4" name="Button 21">
              <controlPr defaultSize="0" print="0" autoFill="0" autoPict="0" macro="[0]!Botão21_Clique">
                <anchor moveWithCells="1" sizeWithCells="1">
                  <from>
                    <xdr:col>14</xdr:col>
                    <xdr:colOff>28575</xdr:colOff>
                    <xdr:row>25</xdr:row>
                    <xdr:rowOff>219075</xdr:rowOff>
                  </from>
                  <to>
                    <xdr:col>14</xdr:col>
                    <xdr:colOff>2409825</xdr:colOff>
                    <xdr:row>26</xdr:row>
                    <xdr:rowOff>295275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559AA92-1639-4CFF-8BAE-50FEFF8FBE84}">
          <x14:formula1>
            <xm:f>Dados!$F$28:$F$30</xm:f>
          </x14:formula1>
          <xm:sqref>E18</xm:sqref>
        </x14:dataValidation>
        <x14:dataValidation type="list" allowBlank="1" showInputMessage="1" showErrorMessage="1" xr:uid="{EB1C4A52-A625-425E-9801-546257789596}">
          <x14:formula1>
            <xm:f>Dados!$A$13:$A$17</xm:f>
          </x14:formula1>
          <xm:sqref>L18</xm:sqref>
        </x14:dataValidation>
        <x14:dataValidation type="list" allowBlank="1" showInputMessage="1" showErrorMessage="1" xr:uid="{C22D865F-87B1-4673-A984-162A947911B6}">
          <x14:formula1>
            <xm:f>Dados!$K$2:$K$10</xm:f>
          </x14:formula1>
          <xm:sqref>K16:L16</xm:sqref>
        </x14:dataValidation>
        <x14:dataValidation type="whole" allowBlank="1" showInputMessage="1" showErrorMessage="1" xr:uid="{66A20402-229D-45B9-A36D-D9A7E87D877C}">
          <x14:formula1>
            <xm:f>Dados!C20</xm:f>
          </x14:formula1>
          <x14:formula2>
            <xm:f>Dados!D20</xm:f>
          </x14:formula2>
          <xm:sqref>G19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E381-51E7-41D7-8323-C04386A5CF80}">
  <sheetPr codeName="Planilha2"/>
  <dimension ref="A1:N49"/>
  <sheetViews>
    <sheetView zoomScale="115" zoomScaleNormal="115" workbookViewId="0">
      <selection activeCell="D3" sqref="D3"/>
    </sheetView>
  </sheetViews>
  <sheetFormatPr defaultColWidth="8.85546875" defaultRowHeight="15" customHeight="1" x14ac:dyDescent="0.25"/>
  <cols>
    <col min="1" max="1" width="12.140625" bestFit="1" customWidth="1"/>
    <col min="2" max="2" width="14.140625" bestFit="1" customWidth="1"/>
    <col min="3" max="3" width="13" bestFit="1" customWidth="1"/>
    <col min="4" max="4" width="14.140625" bestFit="1" customWidth="1"/>
    <col min="5" max="5" width="10.28515625" bestFit="1" customWidth="1"/>
    <col min="6" max="6" width="36" style="9" bestFit="1" customWidth="1"/>
    <col min="7" max="7" width="54.42578125" style="9" customWidth="1"/>
    <col min="8" max="8" width="11.85546875" style="9" bestFit="1" customWidth="1"/>
    <col min="9" max="9" width="6.42578125" style="9" bestFit="1" customWidth="1"/>
    <col min="10" max="10" width="13.7109375" style="9" customWidth="1"/>
    <col min="11" max="11" width="25.28515625" style="9" bestFit="1" customWidth="1"/>
    <col min="12" max="12" width="15" style="9" bestFit="1" customWidth="1"/>
    <col min="13" max="13" width="12.85546875" style="9" bestFit="1" customWidth="1"/>
    <col min="14" max="14" width="12.85546875" bestFit="1" customWidth="1"/>
    <col min="15" max="16" width="10" bestFit="1" customWidth="1"/>
    <col min="17" max="17" width="11" bestFit="1" customWidth="1"/>
  </cols>
  <sheetData>
    <row r="1" spans="1:14" ht="15.75" thickBot="1" x14ac:dyDescent="0.3">
      <c r="F1" s="135" t="s">
        <v>57</v>
      </c>
      <c r="G1" s="135"/>
      <c r="H1" s="135"/>
      <c r="I1" s="135"/>
      <c r="K1" s="17" t="s">
        <v>58</v>
      </c>
      <c r="L1" s="16" t="s">
        <v>59</v>
      </c>
      <c r="M1"/>
    </row>
    <row r="2" spans="1:14" ht="15.75" thickBot="1" x14ac:dyDescent="0.3">
      <c r="F2" s="38" t="s">
        <v>60</v>
      </c>
      <c r="G2" s="38" t="s">
        <v>61</v>
      </c>
      <c r="H2" s="38" t="s">
        <v>62</v>
      </c>
      <c r="I2" s="38" t="s">
        <v>63</v>
      </c>
      <c r="K2" s="18" t="s">
        <v>64</v>
      </c>
      <c r="L2" s="27">
        <v>0.83</v>
      </c>
      <c r="M2"/>
    </row>
    <row r="3" spans="1:14" ht="15.75" thickBot="1" x14ac:dyDescent="0.3">
      <c r="F3" s="37" t="s">
        <v>49</v>
      </c>
      <c r="G3" s="13" t="s">
        <v>65</v>
      </c>
      <c r="H3" s="14" t="s">
        <v>66</v>
      </c>
      <c r="I3" s="14">
        <v>10</v>
      </c>
      <c r="K3" s="18" t="s">
        <v>67</v>
      </c>
      <c r="L3" s="27">
        <v>0.79</v>
      </c>
    </row>
    <row r="4" spans="1:14" ht="15" customHeight="1" thickBot="1" x14ac:dyDescent="0.3">
      <c r="F4" s="37" t="s">
        <v>49</v>
      </c>
      <c r="G4" s="13" t="s">
        <v>65</v>
      </c>
      <c r="H4" s="14" t="s">
        <v>68</v>
      </c>
      <c r="I4" s="14">
        <v>11</v>
      </c>
      <c r="K4" s="18" t="s">
        <v>47</v>
      </c>
      <c r="L4" s="27">
        <v>0.76</v>
      </c>
      <c r="N4" s="2">
        <f>I5*2*L4*5.4</f>
        <v>1846.8000000000002</v>
      </c>
    </row>
    <row r="5" spans="1:14" ht="15" customHeight="1" thickBot="1" x14ac:dyDescent="0.3">
      <c r="F5" s="37" t="s">
        <v>69</v>
      </c>
      <c r="G5" s="13" t="s">
        <v>70</v>
      </c>
      <c r="H5" s="14" t="s">
        <v>71</v>
      </c>
      <c r="I5" s="14">
        <v>225</v>
      </c>
      <c r="K5" s="18" t="s">
        <v>72</v>
      </c>
      <c r="L5" s="27">
        <v>0.72</v>
      </c>
    </row>
    <row r="6" spans="1:14" ht="15" customHeight="1" thickBot="1" x14ac:dyDescent="0.3">
      <c r="A6" s="136"/>
      <c r="B6" s="136"/>
      <c r="C6" s="136"/>
      <c r="D6" s="5"/>
      <c r="E6" s="5"/>
      <c r="F6" s="37" t="s">
        <v>73</v>
      </c>
      <c r="G6" s="13" t="s">
        <v>74</v>
      </c>
      <c r="H6" s="14" t="s">
        <v>75</v>
      </c>
      <c r="I6" s="14">
        <v>10</v>
      </c>
      <c r="K6" s="18" t="s">
        <v>76</v>
      </c>
      <c r="L6" s="27">
        <v>0.68</v>
      </c>
    </row>
    <row r="7" spans="1:14" ht="15" customHeight="1" thickBot="1" x14ac:dyDescent="0.3">
      <c r="A7" s="132" t="s">
        <v>77</v>
      </c>
      <c r="B7" s="137"/>
      <c r="C7" s="137"/>
      <c r="D7" s="138"/>
      <c r="F7" s="37" t="s">
        <v>49</v>
      </c>
      <c r="G7" s="13" t="s">
        <v>65</v>
      </c>
      <c r="H7" s="14" t="s">
        <v>78</v>
      </c>
      <c r="I7" s="44">
        <v>11</v>
      </c>
      <c r="K7" s="18" t="s">
        <v>79</v>
      </c>
      <c r="L7" s="27">
        <v>0.69</v>
      </c>
    </row>
    <row r="8" spans="1:14" ht="15" customHeight="1" thickBot="1" x14ac:dyDescent="0.3">
      <c r="A8" s="21" t="s">
        <v>62</v>
      </c>
      <c r="B8" s="22" t="s">
        <v>80</v>
      </c>
      <c r="C8" s="22" t="s">
        <v>81</v>
      </c>
      <c r="D8" s="23" t="s">
        <v>82</v>
      </c>
      <c r="F8" s="37" t="s">
        <v>83</v>
      </c>
      <c r="G8" s="13" t="s">
        <v>65</v>
      </c>
      <c r="H8" s="14" t="s">
        <v>78</v>
      </c>
      <c r="I8" s="14">
        <v>11</v>
      </c>
      <c r="J8" s="11"/>
      <c r="K8" s="18" t="s">
        <v>84</v>
      </c>
      <c r="L8" s="27">
        <v>0.62</v>
      </c>
      <c r="M8" s="11"/>
      <c r="N8" s="1"/>
    </row>
    <row r="9" spans="1:14" ht="15" customHeight="1" thickBot="1" x14ac:dyDescent="0.3">
      <c r="A9" s="24" t="s">
        <v>85</v>
      </c>
      <c r="B9" s="25" t="s">
        <v>86</v>
      </c>
      <c r="C9" s="25">
        <v>6</v>
      </c>
      <c r="D9" s="26">
        <v>3</v>
      </c>
      <c r="F9" s="37" t="s">
        <v>87</v>
      </c>
      <c r="G9" s="13" t="s">
        <v>65</v>
      </c>
      <c r="H9" s="14" t="s">
        <v>78</v>
      </c>
      <c r="I9" s="14">
        <v>11</v>
      </c>
      <c r="J9" s="11"/>
      <c r="K9" s="18" t="s">
        <v>88</v>
      </c>
      <c r="L9" s="27">
        <v>0.59</v>
      </c>
      <c r="M9" s="11"/>
      <c r="N9" s="1"/>
    </row>
    <row r="10" spans="1:14" ht="15" customHeight="1" thickBot="1" x14ac:dyDescent="0.3">
      <c r="A10" s="20" t="s">
        <v>89</v>
      </c>
      <c r="B10" s="29" t="s">
        <v>90</v>
      </c>
      <c r="C10" s="27">
        <v>199</v>
      </c>
      <c r="D10" s="28">
        <v>99</v>
      </c>
      <c r="F10" s="37" t="s">
        <v>73</v>
      </c>
      <c r="G10" s="13" t="s">
        <v>74</v>
      </c>
      <c r="H10" s="14" t="s">
        <v>78</v>
      </c>
      <c r="I10" s="14">
        <v>7</v>
      </c>
      <c r="J10" s="11"/>
      <c r="K10" s="19" t="s">
        <v>91</v>
      </c>
      <c r="L10" s="28">
        <v>0.56999999999999995</v>
      </c>
      <c r="M10" s="11"/>
      <c r="N10" s="1"/>
    </row>
    <row r="11" spans="1:14" ht="15" customHeight="1" thickBot="1" x14ac:dyDescent="0.3">
      <c r="C11" s="4"/>
      <c r="D11" s="4"/>
      <c r="F11" s="37" t="s">
        <v>92</v>
      </c>
      <c r="G11" s="13" t="s">
        <v>93</v>
      </c>
      <c r="H11" s="14" t="s">
        <v>78</v>
      </c>
      <c r="I11" s="14">
        <v>11</v>
      </c>
      <c r="J11" s="11"/>
      <c r="M11" s="11"/>
      <c r="N11" s="1"/>
    </row>
    <row r="12" spans="1:14" ht="15" customHeight="1" x14ac:dyDescent="0.25">
      <c r="A12" s="129" t="s">
        <v>94</v>
      </c>
      <c r="B12" s="130"/>
      <c r="C12" s="131"/>
      <c r="D12" s="5"/>
      <c r="F12" s="37" t="s">
        <v>95</v>
      </c>
      <c r="G12" s="13" t="s">
        <v>96</v>
      </c>
      <c r="H12" s="14" t="s">
        <v>97</v>
      </c>
      <c r="I12" s="14">
        <v>45</v>
      </c>
      <c r="J12" s="11"/>
      <c r="K12" s="134" t="s">
        <v>45</v>
      </c>
      <c r="L12" s="134"/>
      <c r="M12" s="134"/>
      <c r="N12" s="134"/>
    </row>
    <row r="13" spans="1:14" ht="15" customHeight="1" x14ac:dyDescent="0.25">
      <c r="A13" s="30">
        <v>10</v>
      </c>
      <c r="B13" s="25">
        <v>237.66611871422629</v>
      </c>
      <c r="C13" s="31"/>
      <c r="D13" s="2"/>
      <c r="E13" s="4"/>
      <c r="F13" s="37" t="s">
        <v>98</v>
      </c>
      <c r="G13" s="13" t="s">
        <v>99</v>
      </c>
      <c r="H13" s="14" t="s">
        <v>100</v>
      </c>
      <c r="I13" s="14">
        <v>2</v>
      </c>
      <c r="J13" s="11"/>
      <c r="K13" s="39" t="s">
        <v>31</v>
      </c>
      <c r="L13" s="40" t="s">
        <v>101</v>
      </c>
      <c r="M13" s="39" t="s">
        <v>102</v>
      </c>
      <c r="N13" s="39" t="s">
        <v>103</v>
      </c>
    </row>
    <row r="14" spans="1:14" ht="15" customHeight="1" x14ac:dyDescent="0.25">
      <c r="A14" s="30">
        <v>20</v>
      </c>
      <c r="B14" s="25">
        <v>292.13127091956983</v>
      </c>
      <c r="C14" s="31"/>
      <c r="D14" s="2"/>
      <c r="E14" s="4"/>
      <c r="F14" s="37" t="s">
        <v>104</v>
      </c>
      <c r="G14" s="13"/>
      <c r="H14" s="14" t="s">
        <v>105</v>
      </c>
      <c r="I14" s="14">
        <v>1.5</v>
      </c>
      <c r="J14" s="11"/>
      <c r="K14" s="41" t="s">
        <v>106</v>
      </c>
      <c r="L14" s="44">
        <v>18</v>
      </c>
      <c r="M14" s="44">
        <v>17</v>
      </c>
      <c r="N14" s="44">
        <v>16</v>
      </c>
    </row>
    <row r="15" spans="1:14" ht="15" customHeight="1" x14ac:dyDescent="0.25">
      <c r="A15" s="30">
        <v>30</v>
      </c>
      <c r="B15" s="25">
        <v>341.64504565170029</v>
      </c>
      <c r="C15" s="31"/>
      <c r="D15" s="2"/>
      <c r="E15" s="4"/>
      <c r="F15" s="37" t="s">
        <v>49</v>
      </c>
      <c r="G15" s="13" t="s">
        <v>65</v>
      </c>
      <c r="H15" s="14" t="s">
        <v>107</v>
      </c>
      <c r="I15" s="14">
        <v>11</v>
      </c>
      <c r="J15" s="11"/>
      <c r="K15" s="41" t="s">
        <v>108</v>
      </c>
      <c r="L15" s="44">
        <v>17</v>
      </c>
      <c r="M15" s="44">
        <v>16</v>
      </c>
      <c r="N15" s="44">
        <v>15</v>
      </c>
    </row>
    <row r="16" spans="1:14" ht="15" customHeight="1" x14ac:dyDescent="0.25">
      <c r="A16" s="30">
        <v>50</v>
      </c>
      <c r="B16" s="25">
        <v>445.62397258917429</v>
      </c>
      <c r="C16" s="31"/>
      <c r="D16" s="2"/>
      <c r="E16" s="4"/>
      <c r="F16" s="37" t="s">
        <v>83</v>
      </c>
      <c r="G16" s="13" t="s">
        <v>65</v>
      </c>
      <c r="H16" s="14" t="s">
        <v>107</v>
      </c>
      <c r="I16" s="14">
        <v>9</v>
      </c>
      <c r="J16" s="11"/>
      <c r="K16" s="41" t="s">
        <v>109</v>
      </c>
      <c r="L16" s="44">
        <v>16</v>
      </c>
      <c r="M16" s="44">
        <v>15</v>
      </c>
      <c r="N16" s="44">
        <v>14</v>
      </c>
    </row>
    <row r="17" spans="1:14" ht="15" customHeight="1" thickBot="1" x14ac:dyDescent="0.3">
      <c r="A17" s="20">
        <v>100</v>
      </c>
      <c r="B17" s="27">
        <v>690.71715751322017</v>
      </c>
      <c r="C17" s="32"/>
      <c r="D17" s="2"/>
      <c r="E17" s="4"/>
      <c r="F17" s="37" t="s">
        <v>87</v>
      </c>
      <c r="G17" s="13" t="s">
        <v>65</v>
      </c>
      <c r="H17" s="14" t="s">
        <v>107</v>
      </c>
      <c r="I17" s="14">
        <v>5</v>
      </c>
      <c r="J17" s="11"/>
      <c r="K17" s="11"/>
      <c r="L17" s="11"/>
      <c r="M17" s="11"/>
    </row>
    <row r="18" spans="1:14" ht="15" customHeight="1" thickBot="1" x14ac:dyDescent="0.3">
      <c r="A18" s="6"/>
      <c r="B18" s="3"/>
      <c r="C18" s="3"/>
      <c r="D18" s="3"/>
      <c r="E18" s="4"/>
      <c r="F18" s="37" t="s">
        <v>73</v>
      </c>
      <c r="G18" s="13" t="s">
        <v>74</v>
      </c>
      <c r="H18" s="14" t="s">
        <v>107</v>
      </c>
      <c r="I18" s="14">
        <v>5</v>
      </c>
      <c r="J18" s="11"/>
      <c r="K18" s="134" t="s">
        <v>110</v>
      </c>
      <c r="L18" s="134"/>
      <c r="M18" s="134"/>
      <c r="N18" s="134"/>
    </row>
    <row r="19" spans="1:14" ht="15" customHeight="1" x14ac:dyDescent="0.25">
      <c r="A19" s="132" t="s">
        <v>111</v>
      </c>
      <c r="B19" s="133"/>
      <c r="C19" s="36" t="s">
        <v>112</v>
      </c>
      <c r="D19" s="36" t="s">
        <v>113</v>
      </c>
      <c r="E19" s="4"/>
      <c r="F19" s="37" t="s">
        <v>114</v>
      </c>
      <c r="G19" s="13" t="s">
        <v>115</v>
      </c>
      <c r="H19" s="14" t="s">
        <v>107</v>
      </c>
      <c r="I19" s="14">
        <v>11</v>
      </c>
      <c r="J19" s="11"/>
      <c r="K19" s="39" t="s">
        <v>31</v>
      </c>
      <c r="L19" s="40" t="s">
        <v>101</v>
      </c>
      <c r="M19" s="39" t="s">
        <v>102</v>
      </c>
      <c r="N19" s="39" t="s">
        <v>103</v>
      </c>
    </row>
    <row r="20" spans="1:14" ht="15" customHeight="1" thickBot="1" x14ac:dyDescent="0.3">
      <c r="A20" s="20" t="s">
        <v>116</v>
      </c>
      <c r="B20" s="98">
        <v>199</v>
      </c>
      <c r="C20" s="33">
        <v>1</v>
      </c>
      <c r="D20" s="34">
        <v>100</v>
      </c>
      <c r="E20" s="4"/>
      <c r="F20" s="37" t="s">
        <v>49</v>
      </c>
      <c r="G20" s="13" t="s">
        <v>65</v>
      </c>
      <c r="H20" s="14" t="s">
        <v>117</v>
      </c>
      <c r="I20" s="14">
        <v>4</v>
      </c>
      <c r="J20" s="11"/>
      <c r="K20" s="41" t="s">
        <v>106</v>
      </c>
      <c r="L20" s="44">
        <v>0.9</v>
      </c>
      <c r="M20" s="44">
        <v>1.1000000000000001</v>
      </c>
      <c r="N20" s="44">
        <v>1.3</v>
      </c>
    </row>
    <row r="21" spans="1:14" ht="15" customHeight="1" x14ac:dyDescent="0.25">
      <c r="B21" s="3">
        <v>0.9</v>
      </c>
      <c r="E21" s="4"/>
      <c r="F21" s="37" t="s">
        <v>83</v>
      </c>
      <c r="G21" s="13" t="s">
        <v>65</v>
      </c>
      <c r="H21" s="14" t="s">
        <v>117</v>
      </c>
      <c r="I21" s="14">
        <v>4</v>
      </c>
      <c r="J21" s="11"/>
      <c r="K21" s="41" t="s">
        <v>108</v>
      </c>
      <c r="L21" s="44">
        <v>1</v>
      </c>
      <c r="M21" s="44">
        <v>1.2</v>
      </c>
      <c r="N21" s="44">
        <v>1.4</v>
      </c>
    </row>
    <row r="22" spans="1:14" ht="15" customHeight="1" x14ac:dyDescent="0.25">
      <c r="B22" s="3">
        <v>0.8</v>
      </c>
      <c r="E22" s="4"/>
      <c r="F22" s="37" t="s">
        <v>87</v>
      </c>
      <c r="G22" s="13" t="s">
        <v>65</v>
      </c>
      <c r="H22" s="14" t="s">
        <v>117</v>
      </c>
      <c r="I22" s="14">
        <v>4</v>
      </c>
      <c r="J22" s="11"/>
      <c r="K22" s="41" t="s">
        <v>109</v>
      </c>
      <c r="L22" s="44">
        <v>1.2</v>
      </c>
      <c r="M22" s="44">
        <v>1.4</v>
      </c>
      <c r="N22" s="44">
        <v>1.6</v>
      </c>
    </row>
    <row r="23" spans="1:14" ht="15" customHeight="1" x14ac:dyDescent="0.25">
      <c r="B23" s="2">
        <f>B20*5.1*0.8</f>
        <v>811.92000000000007</v>
      </c>
      <c r="E23" s="4"/>
      <c r="F23" s="37" t="s">
        <v>73</v>
      </c>
      <c r="G23" s="13" t="s">
        <v>74</v>
      </c>
      <c r="H23" s="14" t="s">
        <v>117</v>
      </c>
      <c r="I23" s="14">
        <v>3</v>
      </c>
      <c r="J23" s="11"/>
      <c r="K23" s="11"/>
      <c r="L23" s="11"/>
      <c r="M23" s="11"/>
    </row>
    <row r="24" spans="1:14" ht="15" customHeight="1" thickBot="1" x14ac:dyDescent="0.3">
      <c r="E24" s="4"/>
      <c r="F24" s="10"/>
      <c r="G24" s="12"/>
      <c r="J24" s="11"/>
      <c r="K24" s="11"/>
      <c r="L24" s="11"/>
      <c r="M24" s="11"/>
    </row>
    <row r="25" spans="1:14" ht="15" customHeight="1" thickBot="1" x14ac:dyDescent="0.3">
      <c r="B25" s="132" t="s">
        <v>118</v>
      </c>
      <c r="C25" s="137"/>
      <c r="D25" s="138"/>
      <c r="E25" s="4"/>
      <c r="F25" s="10"/>
      <c r="G25" s="12"/>
      <c r="J25" s="11"/>
      <c r="K25" s="52" t="s">
        <v>24</v>
      </c>
      <c r="L25" s="48" t="s">
        <v>101</v>
      </c>
      <c r="M25" s="48" t="s">
        <v>102</v>
      </c>
      <c r="N25" s="48" t="s">
        <v>103</v>
      </c>
    </row>
    <row r="26" spans="1:14" ht="15" customHeight="1" x14ac:dyDescent="0.25">
      <c r="B26" s="21" t="s">
        <v>101</v>
      </c>
      <c r="C26" s="62" t="s">
        <v>102</v>
      </c>
      <c r="D26" s="63" t="s">
        <v>103</v>
      </c>
      <c r="E26" s="4"/>
      <c r="F26" s="10"/>
      <c r="G26" s="12"/>
      <c r="J26" s="11"/>
      <c r="K26" s="59" t="s">
        <v>119</v>
      </c>
      <c r="L26" s="60">
        <f>'Análise Interna'!P25</f>
        <v>2230.2435975609751</v>
      </c>
      <c r="M26" s="60">
        <f>'Análise Interna'!Q25</f>
        <v>2536.8978658536585</v>
      </c>
      <c r="N26" s="60">
        <f>'Análise Interna'!R25</f>
        <v>2812.4810975609753</v>
      </c>
    </row>
    <row r="27" spans="1:14" ht="15" customHeight="1" thickBot="1" x14ac:dyDescent="0.3">
      <c r="B27" s="64">
        <v>0.25</v>
      </c>
      <c r="C27" s="65">
        <v>0.35</v>
      </c>
      <c r="D27" s="66">
        <v>0.45</v>
      </c>
      <c r="E27" s="4"/>
      <c r="F27" s="10"/>
      <c r="G27" s="12"/>
      <c r="I27" s="11"/>
      <c r="J27" s="11"/>
      <c r="K27" s="59" t="s">
        <v>55</v>
      </c>
      <c r="L27" s="60">
        <f>'Análise Interna'!P24</f>
        <v>401.44384756097548</v>
      </c>
      <c r="M27" s="60">
        <f>'Análise Interna'!Q24</f>
        <v>456.64161585365849</v>
      </c>
      <c r="N27" s="60">
        <f>'Análise Interna'!R24</f>
        <v>506.24659756097554</v>
      </c>
    </row>
    <row r="28" spans="1:14" ht="15" customHeight="1" thickBot="1" x14ac:dyDescent="0.3">
      <c r="E28" s="4"/>
      <c r="F28" s="15" t="s">
        <v>49</v>
      </c>
      <c r="G28" s="12" t="s">
        <v>120</v>
      </c>
      <c r="I28" s="11"/>
      <c r="J28" s="11"/>
      <c r="K28" s="59" t="s">
        <v>121</v>
      </c>
      <c r="L28" s="60">
        <f>SUM('Análise Interna'!P10:P12)</f>
        <v>585.99974999999995</v>
      </c>
      <c r="M28" s="60">
        <f>SUM('Análise Interna'!Q10:Q12)</f>
        <v>636.95624999999995</v>
      </c>
      <c r="N28" s="60">
        <f>SUM('Análise Interna'!R10:R12)</f>
        <v>662.43449999999984</v>
      </c>
    </row>
    <row r="29" spans="1:14" ht="15" customHeight="1" x14ac:dyDescent="0.25">
      <c r="B29" s="132" t="s">
        <v>122</v>
      </c>
      <c r="C29" s="137"/>
      <c r="D29" s="138"/>
      <c r="E29" s="4"/>
      <c r="F29" s="15" t="s">
        <v>83</v>
      </c>
      <c r="G29" s="12" t="s">
        <v>123</v>
      </c>
      <c r="I29" s="11"/>
      <c r="J29" s="11"/>
      <c r="K29" s="11" t="s">
        <v>124</v>
      </c>
      <c r="L29" s="60">
        <f>'Análise Interna'!P16</f>
        <v>0</v>
      </c>
      <c r="M29" s="60">
        <f>'Análise Interna'!Q16</f>
        <v>0</v>
      </c>
      <c r="N29" s="60">
        <f>'Análise Interna'!R16</f>
        <v>0</v>
      </c>
    </row>
    <row r="30" spans="1:14" ht="15" customHeight="1" x14ac:dyDescent="0.25">
      <c r="B30" s="21" t="s">
        <v>101</v>
      </c>
      <c r="C30" s="62" t="s">
        <v>102</v>
      </c>
      <c r="D30" s="63" t="s">
        <v>103</v>
      </c>
      <c r="E30" s="4"/>
      <c r="F30" s="15" t="s">
        <v>87</v>
      </c>
      <c r="G30" s="12" t="s">
        <v>125</v>
      </c>
      <c r="I30" s="11"/>
      <c r="J30" s="11"/>
      <c r="K30" s="11" t="s">
        <v>126</v>
      </c>
      <c r="L30" s="60">
        <f>'Análise Interna'!P17</f>
        <v>159.20000000000002</v>
      </c>
      <c r="M30" s="60">
        <f>'Análise Interna'!Q17</f>
        <v>179.1</v>
      </c>
      <c r="N30" s="60">
        <f>'Análise Interna'!R17</f>
        <v>199</v>
      </c>
    </row>
    <row r="31" spans="1:14" ht="15" customHeight="1" thickBot="1" x14ac:dyDescent="0.3">
      <c r="B31" s="64">
        <v>0.15</v>
      </c>
      <c r="C31" s="65">
        <v>0.25</v>
      </c>
      <c r="D31" s="66">
        <v>0.3</v>
      </c>
      <c r="E31" s="4"/>
      <c r="F31" s="10"/>
      <c r="G31" s="12"/>
      <c r="I31" s="11"/>
      <c r="J31" s="11"/>
      <c r="K31" s="11" t="s">
        <v>127</v>
      </c>
      <c r="L31" s="60">
        <f>'Análise Interna'!P20</f>
        <v>1083.5999999999999</v>
      </c>
      <c r="M31" s="60">
        <f>'Análise Interna'!Q20</f>
        <v>1264.1999999999998</v>
      </c>
      <c r="N31" s="60">
        <f>'Análise Interna'!R20</f>
        <v>1444.8000000000002</v>
      </c>
    </row>
    <row r="32" spans="1:14" ht="15" customHeight="1" x14ac:dyDescent="0.25">
      <c r="E32" s="4"/>
      <c r="F32" s="10"/>
      <c r="G32" s="12"/>
      <c r="I32" s="11"/>
      <c r="J32" s="11"/>
      <c r="K32" s="11"/>
      <c r="L32" s="61"/>
      <c r="M32" s="61"/>
      <c r="N32" s="61"/>
    </row>
    <row r="33" spans="3:13" ht="15" customHeight="1" x14ac:dyDescent="0.25">
      <c r="E33" s="4"/>
      <c r="F33" s="10"/>
      <c r="G33" s="12"/>
      <c r="I33" s="11"/>
      <c r="J33" s="11"/>
      <c r="K33" s="11"/>
      <c r="L33" s="11"/>
      <c r="M33" s="11"/>
    </row>
    <row r="34" spans="3:13" ht="15" customHeight="1" x14ac:dyDescent="0.25">
      <c r="E34" s="4"/>
      <c r="F34" s="10"/>
      <c r="G34" s="12"/>
      <c r="I34" s="11"/>
      <c r="J34" s="11"/>
      <c r="K34" s="11"/>
      <c r="L34" s="11"/>
      <c r="M34" s="11"/>
    </row>
    <row r="35" spans="3:13" ht="15" customHeight="1" x14ac:dyDescent="0.25">
      <c r="C35">
        <f>(40*0.82)/18</f>
        <v>1.822222222222222</v>
      </c>
      <c r="E35" s="4"/>
      <c r="F35" s="10"/>
      <c r="G35" s="12"/>
      <c r="I35" s="11"/>
      <c r="J35" s="11"/>
      <c r="K35" s="11"/>
      <c r="L35" s="11"/>
      <c r="M35" s="11"/>
    </row>
    <row r="36" spans="3:13" ht="15" customHeight="1" x14ac:dyDescent="0.25">
      <c r="E36" s="4"/>
      <c r="F36" s="10"/>
      <c r="G36" s="12"/>
      <c r="I36" s="11"/>
      <c r="J36" s="11"/>
      <c r="K36" s="11"/>
      <c r="L36" s="11"/>
      <c r="M36" s="11"/>
    </row>
    <row r="37" spans="3:13" ht="15" customHeight="1" x14ac:dyDescent="0.25">
      <c r="E37" s="4"/>
      <c r="F37" s="10"/>
      <c r="G37" s="12"/>
      <c r="I37" s="11"/>
      <c r="J37" s="11"/>
      <c r="K37" s="11"/>
      <c r="L37" s="11"/>
      <c r="M37" s="11"/>
    </row>
    <row r="38" spans="3:13" ht="15" customHeight="1" x14ac:dyDescent="0.25">
      <c r="E38" s="4"/>
      <c r="F38" s="10"/>
      <c r="G38" s="12"/>
      <c r="I38" s="11"/>
      <c r="J38" s="11"/>
      <c r="K38" s="11"/>
      <c r="L38" s="11"/>
      <c r="M38" s="11"/>
    </row>
    <row r="39" spans="3:13" ht="15" customHeight="1" x14ac:dyDescent="0.25">
      <c r="E39" s="4"/>
      <c r="F39" s="10"/>
      <c r="G39" s="12"/>
      <c r="I39" s="11"/>
      <c r="J39" s="11"/>
      <c r="K39" s="11"/>
      <c r="L39" s="11"/>
      <c r="M39" s="11"/>
    </row>
    <row r="40" spans="3:13" ht="15" customHeight="1" x14ac:dyDescent="0.25">
      <c r="E40" s="4"/>
      <c r="F40" s="10"/>
      <c r="G40" s="12"/>
      <c r="I40" s="11"/>
      <c r="J40" s="11"/>
      <c r="K40" s="11"/>
      <c r="L40" s="11"/>
      <c r="M40" s="11"/>
    </row>
    <row r="41" spans="3:13" ht="15" customHeight="1" x14ac:dyDescent="0.25">
      <c r="E41" s="4"/>
      <c r="F41" s="10"/>
      <c r="G41" s="12"/>
      <c r="I41" s="11"/>
      <c r="J41" s="11"/>
      <c r="K41" s="11"/>
      <c r="L41" s="11"/>
      <c r="M41" s="11"/>
    </row>
    <row r="42" spans="3:13" ht="15" customHeight="1" x14ac:dyDescent="0.25">
      <c r="E42" s="4"/>
      <c r="F42" s="10"/>
      <c r="G42" s="12"/>
      <c r="I42" s="11"/>
      <c r="J42" s="11"/>
      <c r="K42" s="11"/>
      <c r="L42" s="11"/>
      <c r="M42" s="11"/>
    </row>
    <row r="43" spans="3:13" ht="15" customHeight="1" x14ac:dyDescent="0.25">
      <c r="E43" s="4"/>
      <c r="F43" s="11"/>
      <c r="G43" s="11"/>
      <c r="H43" s="11"/>
      <c r="I43" s="11"/>
      <c r="J43" s="11"/>
      <c r="K43" s="11"/>
      <c r="L43" s="11"/>
      <c r="M43" s="11"/>
    </row>
    <row r="44" spans="3:13" ht="15" customHeight="1" x14ac:dyDescent="0.25">
      <c r="E44" s="4"/>
      <c r="F44" s="11"/>
      <c r="G44" s="11"/>
      <c r="H44" s="11"/>
      <c r="I44" s="11"/>
      <c r="J44" s="11"/>
      <c r="K44" s="11"/>
      <c r="L44" s="11"/>
      <c r="M44" s="11"/>
    </row>
    <row r="45" spans="3:13" ht="15" customHeight="1" x14ac:dyDescent="0.25">
      <c r="F45" s="11"/>
      <c r="G45" s="11"/>
      <c r="H45" s="11"/>
      <c r="I45" s="11"/>
      <c r="K45" s="11"/>
      <c r="L45" s="11"/>
      <c r="M45" s="11"/>
    </row>
    <row r="46" spans="3:13" ht="15" customHeight="1" x14ac:dyDescent="0.25">
      <c r="F46" s="11"/>
      <c r="G46" s="11"/>
    </row>
    <row r="47" spans="3:13" ht="15" customHeight="1" x14ac:dyDescent="0.25">
      <c r="F47" s="11"/>
      <c r="G47" s="11"/>
    </row>
    <row r="48" spans="3:13" ht="15" customHeight="1" x14ac:dyDescent="0.25">
      <c r="F48" s="11"/>
      <c r="G48" s="11"/>
    </row>
    <row r="49" spans="6:7" ht="15" customHeight="1" x14ac:dyDescent="0.25">
      <c r="F49" s="11"/>
      <c r="G49" s="11"/>
    </row>
  </sheetData>
  <sortState xmlns:xlrd2="http://schemas.microsoft.com/office/spreadsheetml/2017/richdata2" ref="F3:I23">
    <sortCondition ref="H2:H23"/>
  </sortState>
  <mergeCells count="9">
    <mergeCell ref="B29:D29"/>
    <mergeCell ref="A19:B19"/>
    <mergeCell ref="K18:N18"/>
    <mergeCell ref="K12:N12"/>
    <mergeCell ref="F1:I1"/>
    <mergeCell ref="A12:C12"/>
    <mergeCell ref="A6:C6"/>
    <mergeCell ref="A7:D7"/>
    <mergeCell ref="B25:D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4A65-6F94-49D4-A5D6-6E38D8604F68}">
  <dimension ref="A2:J4"/>
  <sheetViews>
    <sheetView workbookViewId="0">
      <selection activeCell="F11" sqref="F11"/>
    </sheetView>
  </sheetViews>
  <sheetFormatPr defaultColWidth="8.85546875" defaultRowHeight="15" x14ac:dyDescent="0.25"/>
  <cols>
    <col min="6" max="6" width="22.42578125" bestFit="1" customWidth="1"/>
    <col min="9" max="9" width="11.140625" bestFit="1" customWidth="1"/>
  </cols>
  <sheetData>
    <row r="2" spans="1:10" x14ac:dyDescent="0.25">
      <c r="A2" t="s">
        <v>128</v>
      </c>
      <c r="F2" t="s">
        <v>129</v>
      </c>
      <c r="G2" s="99">
        <v>0.94</v>
      </c>
      <c r="I2" t="s">
        <v>130</v>
      </c>
      <c r="J2" s="2">
        <v>7</v>
      </c>
    </row>
    <row r="3" spans="1:10" x14ac:dyDescent="0.25">
      <c r="F3" t="s">
        <v>131</v>
      </c>
      <c r="G3">
        <v>2.5</v>
      </c>
    </row>
    <row r="4" spans="1:10" x14ac:dyDescent="0.25">
      <c r="F4" t="s">
        <v>132</v>
      </c>
      <c r="G4">
        <v>1.9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CA01C65B8EAC4A8A53B72381CA0113" ma:contentTypeVersion="8" ma:contentTypeDescription="Crie um novo documento." ma:contentTypeScope="" ma:versionID="8f8921609b445679622eb831fa568135">
  <xsd:schema xmlns:xsd="http://www.w3.org/2001/XMLSchema" xmlns:xs="http://www.w3.org/2001/XMLSchema" xmlns:p="http://schemas.microsoft.com/office/2006/metadata/properties" xmlns:ns1="http://schemas.microsoft.com/sharepoint/v3" xmlns:ns2="5c975874-8301-4056-b8f3-8e57b21d7fab" targetNamespace="http://schemas.microsoft.com/office/2006/metadata/properties" ma:root="true" ma:fieldsID="d1576e858d6ed413082966c5ee3dcd39" ns1:_="" ns2:_="">
    <xsd:import namespace="http://schemas.microsoft.com/sharepoint/v3"/>
    <xsd:import namespace="5c975874-8301-4056-b8f3-8e57b21d7f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75874-8301-4056-b8f3-8e57b21d7f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556871C-BEE1-4995-8340-0DFC7D704E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c975874-8301-4056-b8f3-8e57b21d7f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C6A76A-0B5D-46C3-91E2-6925C922C0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230F15-5DF4-4EF8-81F8-A84170852F48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c975874-8301-4056-b8f3-8e57b21d7fab"/>
    <ds:schemaRef ds:uri="http://purl.org/dc/terms/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900EDBA-643A-4C9B-9BFA-1D009A8332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Oferta</vt:lpstr>
      <vt:lpstr>Análise Interna</vt:lpstr>
      <vt:lpstr>Dados</vt:lpstr>
      <vt:lpstr>VDC</vt:lpstr>
      <vt:lpstr>Gerenciamento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rocha</dc:creator>
  <cp:keywords/>
  <dc:description/>
  <cp:lastModifiedBy>Rodrigo Rocha (Gruppen it)</cp:lastModifiedBy>
  <cp:revision/>
  <dcterms:created xsi:type="dcterms:W3CDTF">2020-07-23T14:28:43Z</dcterms:created>
  <dcterms:modified xsi:type="dcterms:W3CDTF">2026-02-06T13:07:42Z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0x01010013CA01C65B8EAC4A8A53B72381CA0113</vt:lpwstr>
  </property>
</Properties>
</file>